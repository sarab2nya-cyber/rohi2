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خلاصه" sheetId="1" state="visible" r:id="rId3"/>
    <sheet name="منابع_استفاده‌شده" sheetId="2" state="visible" r:id="rId4"/>
    <sheet name="رد_یا_بررسی‌نشده" sheetId="3" state="visible" r:id="rId5"/>
    <sheet name="گزینش_از_فهرست_شما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<sst xmlns="http://schemas.openxmlformats.org/spreadsheetml/2006/main" count="306" uniqueCount="235">
  <si>
    <t xml:space="preserve">گزارش راستی‌آزمایی منابع</t>
  </si>
  <si>
    <t xml:space="preserve">شاخص</t>
  </si>
  <si>
    <t xml:space="preserve">تعداد</t>
  </si>
  <si>
    <t xml:space="preserve">توضیح</t>
  </si>
  <si>
    <t xml:space="preserve">منابع با مشخصات تأییدشده (V)</t>
  </si>
  <si>
    <t xml:space="preserve">عنوان، مجله، سال و (در بیشتر موارد) دوره/صفحه با جست‌وجو تأیید شد</t>
  </si>
  <si>
    <t xml:space="preserve">منابع تأییدشده ناقص (P)</t>
  </si>
  <si>
    <t xml:space="preserve">برخی مشخصات (نویسندگان، دوره، صفحه) باید تکمیل شود</t>
  </si>
  <si>
    <t xml:space="preserve">منابع کلاسیک جست‌وجو‌نشده (K)</t>
  </si>
  <si>
    <t xml:space="preserve">در مرحله نهایی تطبیق شوند</t>
  </si>
  <si>
    <t xml:space="preserve">موارد پیدا نشده یا رد شده (N)</t>
  </si>
  <si>
    <t xml:space="preserve">در متن به کار نرفتند</t>
  </si>
  <si>
    <t xml:space="preserve">موارد بررسی‌نشده (S)</t>
  </si>
  <si>
    <t xml:space="preserve">نکات مهم</t>
  </si>
  <si>
    <t xml:space="preserve">• جست‌وجو فقط به منابع ثانویه و پایگاه‌های عمومی دسترسی داشت؛ سایت‌های رسمی NIST، ISO، AICPA و IAASB از این محیط قابل باز شدن نبودند.</t>
  </si>
  <si>
    <t xml:space="preserve">• گزاره‌های محتوایی تا حد چکیده یا رکورد کتاب‌شناختی نوشته شده‌اند. اعداد و نقل‌قول‌ها را از متن کامل بردارید.</t>
  </si>
  <si>
    <t xml:space="preserve">• شماره‌گذاری ارجاع‌ها در متن اولیه شما بین جدول‌ها ناسازگار بود؛ فهرست نهایی بر پایه نویسنده-سال بازسازی شد.</t>
  </si>
  <si>
    <t xml:space="preserve">• رنگ‌ها: سبز = تأیید؛ زرد = تأیید ناقص؛ آبی = کلاسیک؛ قرمز = پیدا نشد؛ خاکستری = بررسی نشد.</t>
  </si>
  <si>
    <t xml:space="preserve">منبع</t>
  </si>
  <si>
    <t xml:space="preserve">وضعیت</t>
  </si>
  <si>
    <t xml:space="preserve">آنچه تأیید شد</t>
  </si>
  <si>
    <t xml:space="preserve">اصلاح نسبت به متن شما / محدودیت</t>
  </si>
  <si>
    <t xml:space="preserve">پیوند شواهد</t>
  </si>
  <si>
    <t xml:space="preserve">Alzeban و همکاران (2025) – Managerial Auditing Journal</t>
  </si>
  <si>
    <t xml:space="preserve">P</t>
  </si>
  <si>
    <t xml:space="preserve">عنوان، مجله، سال؛ 5 نویسنده؛ نتایج چکیده (تخصص IT مدیر حسابرسی، جلسات با کمیته حسابرسی، حاکمیت IT)</t>
  </si>
  <si>
    <t xml:space="preserve">در متن شما 3 نویسنده آمده بود؛ جلد/صفحه/DOI تأیید نشد</t>
  </si>
  <si>
    <t xml:space="preserve">https://researchonline.ljmu.ac.uk/id/eprint/27668/</t>
  </si>
  <si>
    <t xml:space="preserve">Armenia و همکاران (2021) – Decision Support Systems</t>
  </si>
  <si>
    <t xml:space="preserve">V</t>
  </si>
  <si>
    <t xml:space="preserve">دوره 147، شماره مقاله 113580؛ چکیده (SMECRA، پویایی سیستمی، نقد ایستا بودن NIST)</t>
  </si>
  <si>
    <t xml:space="preserve">در متن شما دوره 141 آمده بود؛ درست: 147</t>
  </si>
  <si>
    <t xml:space="preserve">https://iris.uniroma1.it/handle/11573/1554749</t>
  </si>
  <si>
    <t xml:space="preserve">Bedard, Graham &amp; Jackson (2005) – International Journal of Auditing</t>
  </si>
  <si>
    <t xml:space="preserve">دوره 9، صفحات 147–163، DOI</t>
  </si>
  <si>
    <t xml:space="preserve">در متن شما صفحات 197–215 بود؛ درست: 147–163. شماره (issue) تأیید نشد</t>
  </si>
  <si>
    <t xml:space="preserve">https://international.vlex.com/vid/information-systems-risk-and-855605019</t>
  </si>
  <si>
    <t xml:space="preserve">Cernovschi و همکاران (2025) – Economy and Sociology</t>
  </si>
  <si>
    <t xml:space="preserve">شماره 1 سال 2025، صفحات 43–54، DOI 10.36004/nier.es.2025.1-08</t>
  </si>
  <si>
    <t xml:space="preserve">تاریخ «2025-09-01» در فهرست Semantic Scholar با شماره 1 سال 2025 ناهمخوان است</t>
  </si>
  <si>
    <t xml:space="preserve">https://ideas.repec.org/a/aat/journl/y2025i1p43-54.html</t>
  </si>
  <si>
    <t xml:space="preserve">Chen و همکاران (2025) – Auditing: A Journal of Practice &amp; Theory</t>
  </si>
  <si>
    <t xml:space="preserve">عنوان، مجله، انتشار آنلاین 18 اوت 2025؛ یافته‌های چکیده (تجربه نقض، اظهارنظر ضعف با اهمیت، یادگیری بین‌صاحبکاری)</t>
  </si>
  <si>
    <t xml:space="preserve">فهرست نویسندگان، دوره 44(2)، صفحات 101–125 و DOI ajpt-2024-124 تأیید نشد</t>
  </si>
  <si>
    <t xml:space="preserve">https://researchers.mq.edu.au/en/publications/fortifying-the-nonbreached-auditors-role-in-cybersecurity-risk-ma/</t>
  </si>
  <si>
    <t xml:space="preserve">Cremer و همکاران (2022) – Geneva Papers</t>
  </si>
  <si>
    <t xml:space="preserve">47(3)، 698–736، DOI؛ 5219 مطالعه و 79 مجموعه داده</t>
  </si>
  <si>
    <t xml:space="preserve">در متن شما 698–735 بود</t>
  </si>
  <si>
    <t xml:space="preserve">https://ideas.repec.org/a/pal/gpprii/v47y2022i3d10.1057_s41288-022-00266-6.html</t>
  </si>
  <si>
    <t xml:space="preserve">Ganin و همکاران (2020) – Risk Analysis</t>
  </si>
  <si>
    <t xml:space="preserve">40(1)، 183–199؛ چکیده (تهدید، آسیب‌پذیری، پیامد؛ تحلیل چندمعیاره)</t>
  </si>
  <si>
    <t xml:space="preserve">در متن شما 40(4)، 832–849 بود؛ DOI تأیید نشد</t>
  </si>
  <si>
    <t xml:space="preserve">https://ideas.repec.org/a/wly/riskan/v40y2020i1p183-199.html</t>
  </si>
  <si>
    <t xml:space="preserve">Gordon &amp; Loeb (2002) – ACM TISSEC</t>
  </si>
  <si>
    <t xml:space="preserve">5(4)، 438–457، نوامبر 2002؛ DOI از فهرست ثانویه</t>
  </si>
  <si>
    <t xml:space="preserve">منبع ثانویه؛ متن اصلی را نگاه کنید</t>
  </si>
  <si>
    <t xml:space="preserve">https://en.wikipedia.org/wiki/Gordon%E2%80%93Loeb_model</t>
  </si>
  <si>
    <t xml:space="preserve">Hermanson, Hill &amp; Ivancevich (2000) – Journal of Information Systems</t>
  </si>
  <si>
    <t xml:space="preserve">ضمیمه 2000، صفحات 40–53؛ بیش از 100 مدیر حسابرسی داخلی؛ یافته‌های چکیده</t>
  </si>
  <si>
    <t xml:space="preserve">صفحات 39–58 و DOI در متن شما با رکورد همخوان نبود؛ DOI حذف شد</t>
  </si>
  <si>
    <t xml:space="preserve">https://digitalcommons.kennesaw.edu/facpubs/1525</t>
  </si>
  <si>
    <t xml:space="preserve">Higgs و همکاران (2016) – Journal of Information Systems</t>
  </si>
  <si>
    <t xml:space="preserve">30(3)، 79–98، DOI 10.2308/isys-51402؛ چکیده</t>
  </si>
  <si>
    <t xml:space="preserve">—</t>
  </si>
  <si>
    <t xml:space="preserve">https://api.crossref.org/works/10.2308%2FISYS-51402</t>
  </si>
  <si>
    <t xml:space="preserve">Islam, Farah &amp; Stafford (2018) – Managerial Auditing Journal</t>
  </si>
  <si>
    <t xml:space="preserve">33(4)، 377–409، DOI 10.1108/MAJ-07-2017-1595؛ داده CBOK 2015</t>
  </si>
  <si>
    <t xml:space="preserve">در متن شما «Islam &amp; Lee (2018) JAIS» آمده بود که نادرست است</t>
  </si>
  <si>
    <t xml:space="preserve">https://ideas.repec.org/a/eme/majpps/maj-07-2017-1595.html</t>
  </si>
  <si>
    <t xml:space="preserve">Kahyaoğlu &amp; Çalıyurt (2018) – Managerial Auditing Journal</t>
  </si>
  <si>
    <t xml:space="preserve">33(4)، 360–376، DOI 10.1108/MAJ-02-2018-1804؛ چکیده</t>
  </si>
  <si>
    <t xml:space="preserve">در متن شما 33(8/9)، 710–730 بود؛ نادرست</t>
  </si>
  <si>
    <t xml:space="preserve">https://ideas.repec.org/a/eme/majpps/maj-02-2018-1804.html</t>
  </si>
  <si>
    <t xml:space="preserve">Kurniawan &amp; Mulyawan (2023) – Journal of System and Management Sciences</t>
  </si>
  <si>
    <t xml:space="preserve">عنوان و چکیده از صفحه دانشگاه Binus؛ SmartPLS، حسابرسان جاکارتا</t>
  </si>
  <si>
    <t xml:space="preserve">مجله، سال، ترتیب نویسندگان و دوره/صفحه تأیید نشد</t>
  </si>
  <si>
    <t xml:space="preserve">https://accounting.binus.ac.id/research/the-role-of-external-auditors-in-improving-cybersecurity-of-the-companies-through-internal-control-in-financial-reporting/</t>
  </si>
  <si>
    <t xml:space="preserve">Li, No &amp; Boritz (2020) – AJPT</t>
  </si>
  <si>
    <t xml:space="preserve">39(1)، 151–171</t>
  </si>
  <si>
    <t xml:space="preserve">یافته‌ها فقط در حد عنوان استفاده شد</t>
  </si>
  <si>
    <t xml:space="preserve">https://uwaterloo.ca/school-of-accounting-and-finance/people-profiles/efrim-boritz</t>
  </si>
  <si>
    <t xml:space="preserve">Sari و همکاران (2023) – Jurnal Dinamika Akuntansi</t>
  </si>
  <si>
    <t xml:space="preserve">15(2)، 180–190، DOI 10.15294/jda.v15i2.44817؛ 4 نویسنده</t>
  </si>
  <si>
    <t xml:space="preserve">در متن شما 3 نویسنده بود</t>
  </si>
  <si>
    <t xml:space="preserve">https://journal.unnes.ac.id/nju/jda/article/view/44817</t>
  </si>
  <si>
    <t xml:space="preserve">Slapničar و همکاران (2022) – IJAIS</t>
  </si>
  <si>
    <t xml:space="preserve">دوره 44، 100548، DOI 10.1016/j.accinf.2021.100548؛ شاخص برنامه‌ریزی/اجرا/گزارشگری؛ میانگین 58</t>
  </si>
  <si>
    <t xml:space="preserve">نسخه SSRN (2020) در متن شما ارجاع جدا بود؛ نسخه مقاله 2022 به کار رفت</t>
  </si>
  <si>
    <t xml:space="preserve">https://ideas.repec.org/a/eee/ijoais/v44y2022ics1467089521000506.html</t>
  </si>
  <si>
    <t xml:space="preserve">Slapničar و همکاران (2026) – Contemporary Accounting Research</t>
  </si>
  <si>
    <t xml:space="preserve">نویسندگان، عنوان، 43(2)، 1034–1063، DOI</t>
  </si>
  <si>
    <t xml:space="preserve">در متن شما 43(1)، 85–112 بود؛ چکیده خوانده نشد و فقط در حد عنوان استفاده شد</t>
  </si>
  <si>
    <t xml:space="preserve">https://about.uq.edu.au/experts-publication/23541/4748?page=0</t>
  </si>
  <si>
    <t xml:space="preserve">Steinbart و همکاران (2018) – Accounting, Organizations and Society</t>
  </si>
  <si>
    <t xml:space="preserve">71، 15–29، DOI 10.1016/j.aos.2018.04.005</t>
  </si>
  <si>
    <t xml:space="preserve">عنوان از حافظه است؛ یافته‌ها بازیابی نشد. در متن شما «Steinbart 2015 COBIT» آمده بود که منبع دیگری است</t>
  </si>
  <si>
    <t xml:space="preserve">https://ideas.repec.org/a/eee/aosoci/v71y2018icp15-29.html</t>
  </si>
  <si>
    <t xml:space="preserve">Vuko و همکاران (2024) – International Journal of Auditing</t>
  </si>
  <si>
    <t xml:space="preserve">29(1)، 188–206، DOI 10.1111/ijau.12365</t>
  </si>
  <si>
    <t xml:space="preserve">https://about.uq.edu.au/experts-publication/23541/64?page=0</t>
  </si>
  <si>
    <t xml:space="preserve">Wang, Neil &amp; Fenton (2020) – Computers &amp; Security</t>
  </si>
  <si>
    <t xml:space="preserve">دوره 89، 101659، DOI 10.1016/j.cose.2019.101659</t>
  </si>
  <si>
    <t xml:space="preserve">https://qmro.qmul.ac.uk/xmlui/handle/123456789/61864</t>
  </si>
  <si>
    <t xml:space="preserve">Wangen و همکاران (2018) – International Journal of Information Security</t>
  </si>
  <si>
    <t xml:space="preserve">17(6)، 681–699؛ عنوان کامل شامل «Core Unified Risk Framework»؛ ISO 27005 کامل‌ترین در میان روش‌های مقایسه‌شده</t>
  </si>
  <si>
    <t xml:space="preserve">در متن شما سال 2017، 16(4)، 381–397 بود؛ نادرست</t>
  </si>
  <si>
    <t xml:space="preserve">https://link.springer.com/article/10.1007/s10207-017-0382-0</t>
  </si>
  <si>
    <t xml:space="preserve">Barney (1991); DiMaggio &amp; Powell (1983); Donaldson (2001); Jensen &amp; Meckling (1976); Teece و همکاران (1997)</t>
  </si>
  <si>
    <t xml:space="preserve">K</t>
  </si>
  <si>
    <t xml:space="preserve">منابع کلاسیک؛ مشخصات از حافظه و استاندارد</t>
  </si>
  <si>
    <t xml:space="preserve">در این جلسه جست‌وجو نشد؛ در مرحله نهایی با Google Scholar چک شوند</t>
  </si>
  <si>
    <t xml:space="preserve">ISA 315 (Revised 2019)</t>
  </si>
  <si>
    <t xml:space="preserve">لازم‌الاجرا از 15 دسامبر 2021؛ تعریف IT environment و GITC</t>
  </si>
  <si>
    <t xml:space="preserve">از منابع ثانویه (ICAEW و دیگران)؛ متن IAASB را نگاه کنید</t>
  </si>
  <si>
    <t xml:space="preserve">https://www.icaew.com/technical/audit-and-assurance/audit/risk-assessment-internal-control-and-response/isa-315-the-entitys-it-systems-and-related-risks</t>
  </si>
  <si>
    <t xml:space="preserve">IIA Global Internal Audit Standards 2024</t>
  </si>
  <si>
    <t xml:space="preserve">صدور 9 ژانویه 2024؛ لازم‌الاجرا 9 ژانویه 2025</t>
  </si>
  <si>
    <t xml:space="preserve">https://theiia.org/en/content/communications/press-releases/2024/january/the-iia-releases-new-global-internal-audit-standards-to-lead-profession-into-the-future</t>
  </si>
  <si>
    <t xml:space="preserve">IIA Cybersecurity Topical Requirement</t>
  </si>
  <si>
    <t xml:space="preserve">صدور 5 فوریه 2025؛ لازم‌الاجرا 5 فوریه 2026</t>
  </si>
  <si>
    <t xml:space="preserve">برخی منابع ثانویه «2024» نوشته‌اند؛ تاریخ IIA ملاک است</t>
  </si>
  <si>
    <t xml:space="preserve">https://www.theiia.org/en/standards/2024-standards/topical-requirements/cybersecurity</t>
  </si>
  <si>
    <t xml:space="preserve">IIA Three Lines Model (2020)</t>
  </si>
  <si>
    <t xml:space="preserve">جولای 2020 منتشر شد</t>
  </si>
  <si>
    <t xml:space="preserve">صفحه IIA می‌گوید این سند با بیانیه جدیدی جایگزین شده؛ پیش از ارجاع بیانیه جاری را ببینید</t>
  </si>
  <si>
    <t xml:space="preserve">https://www.theiia.org/en/content/communications/2020/july/20-july-2020-iia-issues-important-update-to-three-lines-model/</t>
  </si>
  <si>
    <t xml:space="preserve">AICPA SOC for Cybersecurity (DC section 100) و TSC 2017 (نکات 2022)</t>
  </si>
  <si>
    <t xml:space="preserve">DC section 100 مربوط به برنامه مدیریت ریسک سایبری است؛ معیارهای TSC با نکات 2022 تغییری در معیارها ندارد</t>
  </si>
  <si>
    <t xml:space="preserve">اشتباه من در ماتریس (DC200) اصلاح شد: DC 200 مربوط به SOC 2 است</t>
  </si>
  <si>
    <t xml:space="preserve">https://www.bpm.com/insights/cybersecurity-risk-management-aicpa-introduces-new-soc</t>
  </si>
  <si>
    <t xml:space="preserve">NIST CSF 2.0 (2024)</t>
  </si>
  <si>
    <t xml:space="preserve">22 دسته در 6 کارکرد شامل Govern</t>
  </si>
  <si>
    <t xml:space="preserve">از منابع ثانویه؛ CSWP 29 را نگاه کنید</t>
  </si>
  <si>
    <t xml:space="preserve">https://www.stigviewer.com/controls/csf/catalog</t>
  </si>
  <si>
    <t xml:space="preserve">NIST SP 800-61 Rev. 3 (آوریل 2025)</t>
  </si>
  <si>
    <t xml:space="preserve">جایگزین Rev. 2؛ پروفایل CSF 2.0</t>
  </si>
  <si>
    <t xml:space="preserve">https://nist.gov/news-events/news/2025/04/nist-revises-sp-800-61-incident-response-recommendations-and-considerations</t>
  </si>
  <si>
    <t xml:space="preserve">ISO/IEC 27005:2022</t>
  </si>
  <si>
    <t xml:space="preserve">ویرایش چهارم، اکتبر 2022؛ همسو با 27001:2022 و ISO 31000:2018؛ «consequence»</t>
  </si>
  <si>
    <t xml:space="preserve">شماره بندها در این سند نیامده</t>
  </si>
  <si>
    <t xml:space="preserve">https://www.iso.org/standard/80585.html</t>
  </si>
  <si>
    <t xml:space="preserve">ISO/IEC 27001:2022، 27002:2022، ISO 31000:2018</t>
  </si>
  <si>
    <t xml:space="preserve">وجود ویرایش‌های جاری از منابع ثانویه</t>
  </si>
  <si>
    <t xml:space="preserve">متن رسمی پولی است؛ بندها را با نسخه خریداری‌شده تطبیق دهید</t>
  </si>
  <si>
    <t xml:space="preserve">https://www.iso.org</t>
  </si>
  <si>
    <t xml:space="preserve">COSO ERM 2017، COBIT 2019، NIST SP 800-30 Rev. 1</t>
  </si>
  <si>
    <t xml:space="preserve">از حافظه</t>
  </si>
  <si>
    <t xml:space="preserve">در این جلسه جست‌وجو نشد</t>
  </si>
  <si>
    <t xml:space="preserve">[IR-1] مطالعه حسابرسی IT در بانک‌های ایران (Management Approaches 1403؛ شماره 50)</t>
  </si>
  <si>
    <t xml:space="preserve">20 مصاحبه در چهار بانک؛ 20 چالش؛ الزام بانک مرکزی به حسابرسی IT بر پایه ISACA ITAF (از چکیده)</t>
  </si>
  <si>
    <t xml:space="preserve">نویسنده‌ها و عنوان کامل و صفحات را از سایت مجله تکمیل کنید</t>
  </si>
  <si>
    <t xml:space="preserve">https://ims.atu.ac.ir/issue_2992_3005_en.html</t>
  </si>
  <si>
    <t xml:space="preserve">[IR-2] مطالعه موانع اجرای حسابرسی فناوری اطلاعات در ایران</t>
  </si>
  <si>
    <t xml:space="preserve">پیمایش اعضای جامعه حسابداران رسمی؛ موانع: کمبود دانش/تجربه و نبود استاندارد IT audit</t>
  </si>
  <si>
    <t xml:space="preserve">نویسنده‌ها، مجله و سال را تکمیل کنید</t>
  </si>
  <si>
    <t xml:space="preserve">https://www.ensani.ir/fa/article/558666</t>
  </si>
  <si>
    <t xml:space="preserve">مورد</t>
  </si>
  <si>
    <t xml:space="preserve">دلیل</t>
  </si>
  <si>
    <t xml:space="preserve">اقدام</t>
  </si>
  <si>
    <t xml:space="preserve">Sampson و همکاران (2026) – Geneva Papers: Bridging the gaps in cyber risk assessment</t>
  </si>
  <si>
    <t xml:space="preserve">N</t>
  </si>
  <si>
    <t xml:space="preserve">در دو جست‌وجو پیدا نشد (شاید در شماره ویژه Geneva Papers اکتبر 2026 باشد)</t>
  </si>
  <si>
    <t xml:space="preserve">استفاده نشد؛ ادعای «217 رویکرد» به کار نرفت</t>
  </si>
  <si>
    <t xml:space="preserve">Tarakci &amp; Gönül (2023) – Risk analysis and assessment framework for cyber security in management systems</t>
  </si>
  <si>
    <t xml:space="preserve">در جست‌وجو پیدا نشد</t>
  </si>
  <si>
    <t xml:space="preserve">استفاده نشد</t>
  </si>
  <si>
    <t xml:space="preserve">Usman, Che-Ahmad &amp; Abdulmalik (2023) – IJPBR</t>
  </si>
  <si>
    <t xml:space="preserve">با جست‌وجوی من پیدا نشد؛ فقط در فهرست Semantic Scholar که فرستادید دیده می‌شود. DOI متن شما تأیید نشد</t>
  </si>
  <si>
    <t xml:space="preserve">مرتبط است؛ پس از تأیید از ناشر (IJPBR) به متن اضافه کنید</t>
  </si>
  <si>
    <t xml:space="preserve">Evi Julyanti Situmorang (2026)</t>
  </si>
  <si>
    <t xml:space="preserve">بررسی نشد؛ مشخصات کامل در متن شما نبود</t>
  </si>
  <si>
    <t xml:space="preserve">Sánchez-García و همکاران (2022) – Applied Sciences</t>
  </si>
  <si>
    <t xml:space="preserve">مشخصات متن شما ناسازگار است: Appl. Sci. 12(1)، 395 با DOI app13010395 (سال 2023) همخوان نیست</t>
  </si>
  <si>
    <t xml:space="preserve">استفاده نشد تا اصلاح شود</t>
  </si>
  <si>
    <t xml:space="preserve">Musov (2020); Devi و همکاران (2022); Mousa (2026); Rananga &amp; Venter (2026); Lyu و همکاران (2019); Schmitz &amp; Pape (2020); AL-Dosari &amp; Fetais (2023); Paiva (2026); Ekstedt و همکاران (2023)</t>
  </si>
  <si>
    <t xml:space="preserve">S</t>
  </si>
  <si>
    <t xml:space="preserve">در این جلسه بررسی نشدند یا فقط عنوان تأیید شد (Ekstedt: IJIS 22(6)، 1713–1729 و نه 22(5) 1211–1230)</t>
  </si>
  <si>
    <t xml:space="preserve">برای مقاله نهایی هر کدام که لازم شد جداگانه تأیید شود</t>
  </si>
  <si>
    <t xml:space="preserve">منابع جدول مرحله‌ای (Bernardo، Shedden، Denysenko، Chandra، Saha، Rigon، Akash، Farh، Khlaponin، Deshmukh، Becklines و غیره) و منابع Asif/Khan/Dash/Ashraf/Qatawneh/IAASB 2024-2025</t>
  </si>
  <si>
    <t xml:space="preserve">بررسی نشد؛ در متن شما شماره‌گذاری ارجاع‌ها بین جدول‌ها ناسازگار بود ([1] در یک جدول Situmorang و در جدول دیگر Sánchez-García است)</t>
  </si>
  <si>
    <t xml:space="preserve">استفاده نشد؛ فهرست منبع‌ها را فقط بر اساس نویسنده-سال بازسازی کنید</t>
  </si>
  <si>
    <t xml:space="preserve">مورد در فهرست Semantic Scholar</t>
  </si>
  <si>
    <t xml:space="preserve">ارتباط (قضاوت من)</t>
  </si>
  <si>
    <t xml:space="preserve">Usman, Che-Ahmad, Abdulmalik (2023) IJPBR</t>
  </si>
  <si>
    <t xml:space="preserve">بالا</t>
  </si>
  <si>
    <t xml:space="preserve">نقش ویژگی‌های حسابرس داخلی در ارزیابی ریسک سایبری</t>
  </si>
  <si>
    <t xml:space="preserve">تأیید و اضافه شود</t>
  </si>
  <si>
    <t xml:space="preserve">Alzeban و همکاران (2025) MAJ</t>
  </si>
  <si>
    <t xml:space="preserve">کیفیت حسابرسی امنیت سایبری</t>
  </si>
  <si>
    <t xml:space="preserve">استفاده شد</t>
  </si>
  <si>
    <t xml:space="preserve">Cernovschi و همکاران (2025)</t>
  </si>
  <si>
    <t xml:space="preserve">ادغام امنیت سایبری در حسابرسی داخلی با ابزار خودارزیابی</t>
  </si>
  <si>
    <t xml:space="preserve">Kurniawan &amp; Mulyawan (2023)</t>
  </si>
  <si>
    <t xml:space="preserve">SEM با حسابرسان؛ پیشینه روشی</t>
  </si>
  <si>
    <t xml:space="preserve">استفاده شد (ناقص)</t>
  </si>
  <si>
    <t xml:space="preserve">Sari و همکاران (2023)</t>
  </si>
  <si>
    <t xml:space="preserve">متوسط</t>
  </si>
  <si>
    <t xml:space="preserve">شاخص افشای ریسک سایبری</t>
  </si>
  <si>
    <t xml:space="preserve">Saputra و همکاران (2026)</t>
  </si>
  <si>
    <t xml:space="preserve">مرور افشای امنیت سایبری، حاکمیت و اعتماد</t>
  </si>
  <si>
    <t xml:space="preserve">تأیید شود</t>
  </si>
  <si>
    <t xml:space="preserve">Al-Marri و همکاران (2026) Electronics</t>
  </si>
  <si>
    <t xml:space="preserve">مرور استانداردها و چارچوب‌های cyberworthiness</t>
  </si>
  <si>
    <t xml:space="preserve">Todorović و همکاران (2020)</t>
  </si>
  <si>
    <t xml:space="preserve">نقش حسابرسی داخلی در مقابله با جرایم سایبری</t>
  </si>
  <si>
    <t xml:space="preserve">Lubenchenko &amp; Korinko (2021)</t>
  </si>
  <si>
    <t xml:space="preserve">کاربرد ISA 315</t>
  </si>
  <si>
    <t xml:space="preserve">تأیید شود (ISA 315 قدیمی یا Rev. 2019؟)</t>
  </si>
  <si>
    <t xml:space="preserve">Rusman و همکاران (2022)</t>
  </si>
  <si>
    <t xml:space="preserve">حسابرسی سیستم اطلاعاتی با COBIT و ITIL</t>
  </si>
  <si>
    <t xml:space="preserve">Arena &amp; Azzone (2009) IJA</t>
  </si>
  <si>
    <t xml:space="preserve">عوامل سازمانی اثربخشی حسابرسی داخلی</t>
  </si>
  <si>
    <t xml:space="preserve">Blue, Chahrdahcheriki &amp; Rezaee (2024) IJAIM</t>
  </si>
  <si>
    <t xml:space="preserve">پژوهش ایرانی (بورس تهران) با طرح مرحله‌ای؛ پیشینه روشی در زمینه ایران</t>
  </si>
  <si>
    <t xml:space="preserve">تأیید شود؛ موضوع سایبری نیست</t>
  </si>
  <si>
    <t xml:space="preserve">Paiva (2026); Olatunde-Thorpe و همکاران؛ Clinton (2021)</t>
  </si>
  <si>
    <t xml:space="preserve">حاکمیت شرکتی و امنیت سایبری، فرهنگ ریسک، هیئت‌مدیره</t>
  </si>
  <si>
    <t xml:space="preserve">Knight &amp; Nurse (2020) Computers &amp; Security</t>
  </si>
  <si>
    <t xml:space="preserve">پایین تا متوسط</t>
  </si>
  <si>
    <t xml:space="preserve">ارتباطات پس از حادثه (گزارشگری)</t>
  </si>
  <si>
    <t xml:space="preserve">Goel &amp; Chen (2015)</t>
  </si>
  <si>
    <t xml:space="preserve">تحلیل ریسک امنیت اطلاعات با ماتریس (جزئیات در فهرست نبود)</t>
  </si>
  <si>
    <t xml:space="preserve">Alao &amp; Timilehin (2021)</t>
  </si>
  <si>
    <t xml:space="preserve">ارزیابی ریسک و مسئولیت حسابرسان در دوران کووید شامل امنیت سایبری</t>
  </si>
  <si>
    <t xml:space="preserve">Beasley و همکاران (2008); Kasim &amp; Hanafi (2012)</t>
  </si>
  <si>
    <t xml:space="preserve">نظارت کمیته حسابرسی بر ERM؛ نقش حسابرس داخلی در ERM</t>
  </si>
  <si>
    <t xml:space="preserve">اختیاری</t>
  </si>
  <si>
    <t xml:space="preserve">مطالعات COSO (Comert 2026؛ Dua 2025؛ Musah 2022)</t>
  </si>
  <si>
    <t xml:space="preserve">پایین</t>
  </si>
  <si>
    <t xml:space="preserve">اجزای کنترل داخلی از جمله ارزیابی ریسک؛ سایبری نیستند</t>
  </si>
  <si>
    <t xml:space="preserve">فقط برای زمینه COSO</t>
  </si>
  <si>
    <t xml:space="preserve">بقیه فهرست (اقلیم، اعتبار، ESG، ورشکستگی، سلامت، بازاریابی و غیره)</t>
  </si>
  <si>
    <t xml:space="preserve">نامرتبط</t>
  </si>
  <si>
    <t xml:space="preserve">ارتباطی با ارزیابی ریسک سایبری توسط حسابرس ندارند</t>
  </si>
  <si>
    <t xml:space="preserve">حذف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</si>
</sst>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8CBAD"/>
        <bgColor rgb="FFFFF2CC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3" t="n">
        <f aca="false">COUNTIF('منابع_استفاده‌شده'!B2:B35,"V")</f>
        <v>25</v>
      </c>
      <c r="C4" s="3" t="s">
        <v>5</v>
      </c>
    </row>
    <row r="5" customFormat="false" ht="15" hidden="false" customHeight="false" outlineLevel="0" collapsed="false">
      <c r="A5" s="3" t="s">
        <v>6</v>
      </c>
      <c r="B5" s="3" t="n">
        <f aca="false">COUNTIF('منابع_استفاده‌شده'!B2:B35,"P")</f>
        <v>7</v>
      </c>
      <c r="C5" s="3" t="s">
        <v>7</v>
      </c>
    </row>
    <row r="6" customFormat="false" ht="15" hidden="false" customHeight="false" outlineLevel="0" collapsed="false">
      <c r="A6" s="3" t="s">
        <v>8</v>
      </c>
      <c r="B6" s="3" t="n">
        <f aca="false">COUNTIF('منابع_استفاده‌شده'!B2:B35,"K")</f>
        <v>2</v>
      </c>
      <c r="C6" s="3" t="s">
        <v>9</v>
      </c>
    </row>
    <row r="7" customFormat="false" ht="15" hidden="false" customHeight="false" outlineLevel="0" collapsed="false">
      <c r="A7" s="3" t="s">
        <v>10</v>
      </c>
      <c r="B7" s="3" t="n">
        <f aca="false">COUNTIF('رد_یا_بررسی‌نشده'!B2:B8,"N")</f>
        <v>5</v>
      </c>
      <c r="C7" s="3" t="s">
        <v>11</v>
      </c>
    </row>
    <row r="8" customFormat="false" ht="15" hidden="false" customHeight="false" outlineLevel="0" collapsed="false">
      <c r="A8" s="3" t="s">
        <v>12</v>
      </c>
      <c r="B8" s="3" t="n">
        <f aca="false">COUNTIF('رد_یا_بررسی‌نشده'!B2:B8,"S")</f>
        <v>2</v>
      </c>
      <c r="C8" s="3" t="s">
        <v>11</v>
      </c>
    </row>
    <row r="10" customFormat="false" ht="15" hidden="false" customHeight="false" outlineLevel="0" collapsed="false">
      <c r="A10" s="4" t="s">
        <v>13</v>
      </c>
    </row>
    <row r="11" customFormat="false" ht="30" hidden="false" customHeight="true" outlineLevel="0" collapsed="false">
      <c r="A11" s="5" t="s">
        <v>14</v>
      </c>
      <c r="B11" s="5"/>
      <c r="C11" s="5"/>
    </row>
    <row r="12" customFormat="false" ht="30" hidden="false" customHeight="true" outlineLevel="0" collapsed="false">
      <c r="A12" s="5" t="s">
        <v>15</v>
      </c>
      <c r="B12" s="5"/>
      <c r="C12" s="5"/>
    </row>
    <row r="13" customFormat="false" ht="30" hidden="false" customHeight="true" outlineLevel="0" collapsed="false">
      <c r="A13" s="5" t="s">
        <v>16</v>
      </c>
      <c r="B13" s="5"/>
      <c r="C13" s="5"/>
    </row>
    <row r="14" customFormat="false" ht="30" hidden="false" customHeight="true" outlineLevel="0" collapsed="false">
      <c r="A14" s="5" t="s">
        <v>17</v>
      </c>
      <c r="B14" s="5"/>
      <c r="C14" s="5"/>
    </row>
  </sheetData>
  <mergeCells count="4">
    <mergeCell ref="A11:C11"/>
    <mergeCell ref="A12:C12"/>
    <mergeCell ref="A13:C13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52"/>
    <col collapsed="false" customWidth="true" hidden="false" outlineLevel="0" max="5" min="5" style="0" width="48"/>
  </cols>
  <sheetData>
    <row r="1" customFormat="false" ht="15" hidden="false" customHeight="false" outlineLevel="0" collapsed="false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</row>
    <row r="2" customFormat="false" ht="61.5" hidden="false" customHeight="true" outlineLevel="0" collapsed="false">
      <c r="A2" s="3" t="s">
        <v>23</v>
      </c>
      <c r="B2" s="7" t="s">
        <v>24</v>
      </c>
      <c r="C2" s="3" t="s">
        <v>25</v>
      </c>
      <c r="D2" s="3" t="s">
        <v>26</v>
      </c>
      <c r="E2" s="3" t="s">
        <v>27</v>
      </c>
    </row>
    <row r="3" customFormat="false" ht="61.5" hidden="false" customHeight="true" outlineLevel="0" collapsed="false">
      <c r="A3" s="3" t="s">
        <v>28</v>
      </c>
      <c r="B3" s="8" t="s">
        <v>29</v>
      </c>
      <c r="C3" s="3" t="s">
        <v>30</v>
      </c>
      <c r="D3" s="3" t="s">
        <v>31</v>
      </c>
      <c r="E3" s="3" t="s">
        <v>32</v>
      </c>
    </row>
    <row r="4" customFormat="false" ht="61.5" hidden="false" customHeight="true" outlineLevel="0" collapsed="false">
      <c r="A4" s="3" t="s">
        <v>33</v>
      </c>
      <c r="B4" s="8" t="s">
        <v>29</v>
      </c>
      <c r="C4" s="3" t="s">
        <v>34</v>
      </c>
      <c r="D4" s="3" t="s">
        <v>35</v>
      </c>
      <c r="E4" s="3" t="s">
        <v>36</v>
      </c>
    </row>
    <row r="5" customFormat="false" ht="61.5" hidden="false" customHeight="true" outlineLevel="0" collapsed="false">
      <c r="A5" s="3" t="s">
        <v>37</v>
      </c>
      <c r="B5" s="8" t="s">
        <v>29</v>
      </c>
      <c r="C5" s="3" t="s">
        <v>38</v>
      </c>
      <c r="D5" s="3" t="s">
        <v>39</v>
      </c>
      <c r="E5" s="3" t="s">
        <v>40</v>
      </c>
    </row>
    <row r="6" customFormat="false" ht="61.5" hidden="false" customHeight="true" outlineLevel="0" collapsed="false">
      <c r="A6" s="3" t="s">
        <v>41</v>
      </c>
      <c r="B6" s="7" t="s">
        <v>24</v>
      </c>
      <c r="C6" s="3" t="s">
        <v>42</v>
      </c>
      <c r="D6" s="3" t="s">
        <v>43</v>
      </c>
      <c r="E6" s="3" t="s">
        <v>44</v>
      </c>
    </row>
    <row r="7" customFormat="false" ht="61.5" hidden="false" customHeight="true" outlineLevel="0" collapsed="false">
      <c r="A7" s="3" t="s">
        <v>45</v>
      </c>
      <c r="B7" s="8" t="s">
        <v>29</v>
      </c>
      <c r="C7" s="3" t="s">
        <v>46</v>
      </c>
      <c r="D7" s="3" t="s">
        <v>47</v>
      </c>
      <c r="E7" s="3" t="s">
        <v>48</v>
      </c>
    </row>
    <row r="8" customFormat="false" ht="61.5" hidden="false" customHeight="true" outlineLevel="0" collapsed="false">
      <c r="A8" s="3" t="s">
        <v>49</v>
      </c>
      <c r="B8" s="8" t="s">
        <v>29</v>
      </c>
      <c r="C8" s="3" t="s">
        <v>50</v>
      </c>
      <c r="D8" s="3" t="s">
        <v>51</v>
      </c>
      <c r="E8" s="3" t="s">
        <v>52</v>
      </c>
    </row>
    <row r="9" customFormat="false" ht="61.5" hidden="false" customHeight="true" outlineLevel="0" collapsed="false">
      <c r="A9" s="3" t="s">
        <v>53</v>
      </c>
      <c r="B9" s="8" t="s">
        <v>29</v>
      </c>
      <c r="C9" s="3" t="s">
        <v>54</v>
      </c>
      <c r="D9" s="3" t="s">
        <v>55</v>
      </c>
      <c r="E9" s="3" t="s">
        <v>56</v>
      </c>
    </row>
    <row r="10" customFormat="false" ht="61.5" hidden="false" customHeight="true" outlineLevel="0" collapsed="false">
      <c r="A10" s="3" t="s">
        <v>57</v>
      </c>
      <c r="B10" s="8" t="s">
        <v>29</v>
      </c>
      <c r="C10" s="3" t="s">
        <v>58</v>
      </c>
      <c r="D10" s="3" t="s">
        <v>59</v>
      </c>
      <c r="E10" s="3" t="s">
        <v>60</v>
      </c>
    </row>
    <row r="11" customFormat="false" ht="61.5" hidden="false" customHeight="true" outlineLevel="0" collapsed="false">
      <c r="A11" s="3" t="s">
        <v>61</v>
      </c>
      <c r="B11" s="8" t="s">
        <v>29</v>
      </c>
      <c r="C11" s="3" t="s">
        <v>62</v>
      </c>
      <c r="D11" s="3" t="s">
        <v>63</v>
      </c>
      <c r="E11" s="3" t="s">
        <v>64</v>
      </c>
    </row>
    <row r="12" customFormat="false" ht="61.5" hidden="false" customHeight="true" outlineLevel="0" collapsed="false">
      <c r="A12" s="3" t="s">
        <v>65</v>
      </c>
      <c r="B12" s="8" t="s">
        <v>29</v>
      </c>
      <c r="C12" s="3" t="s">
        <v>66</v>
      </c>
      <c r="D12" s="3" t="s">
        <v>67</v>
      </c>
      <c r="E12" s="3" t="s">
        <v>68</v>
      </c>
    </row>
    <row r="13" customFormat="false" ht="61.5" hidden="false" customHeight="true" outlineLevel="0" collapsed="false">
      <c r="A13" s="3" t="s">
        <v>69</v>
      </c>
      <c r="B13" s="8" t="s">
        <v>29</v>
      </c>
      <c r="C13" s="3" t="s">
        <v>70</v>
      </c>
      <c r="D13" s="3" t="s">
        <v>71</v>
      </c>
      <c r="E13" s="3" t="s">
        <v>72</v>
      </c>
    </row>
    <row r="14" customFormat="false" ht="61.5" hidden="false" customHeight="true" outlineLevel="0" collapsed="false">
      <c r="A14" s="3" t="s">
        <v>73</v>
      </c>
      <c r="B14" s="7" t="s">
        <v>24</v>
      </c>
      <c r="C14" s="3" t="s">
        <v>74</v>
      </c>
      <c r="D14" s="3" t="s">
        <v>75</v>
      </c>
      <c r="E14" s="3" t="s">
        <v>76</v>
      </c>
    </row>
    <row r="15" customFormat="false" ht="61.5" hidden="false" customHeight="true" outlineLevel="0" collapsed="false">
      <c r="A15" s="3" t="s">
        <v>77</v>
      </c>
      <c r="B15" s="8" t="s">
        <v>29</v>
      </c>
      <c r="C15" s="3" t="s">
        <v>78</v>
      </c>
      <c r="D15" s="3" t="s">
        <v>79</v>
      </c>
      <c r="E15" s="3" t="s">
        <v>80</v>
      </c>
    </row>
    <row r="16" customFormat="false" ht="61.5" hidden="false" customHeight="true" outlineLevel="0" collapsed="false">
      <c r="A16" s="3" t="s">
        <v>81</v>
      </c>
      <c r="B16" s="8" t="s">
        <v>29</v>
      </c>
      <c r="C16" s="3" t="s">
        <v>82</v>
      </c>
      <c r="D16" s="3" t="s">
        <v>83</v>
      </c>
      <c r="E16" s="3" t="s">
        <v>84</v>
      </c>
    </row>
    <row r="17" customFormat="false" ht="61.5" hidden="false" customHeight="true" outlineLevel="0" collapsed="false">
      <c r="A17" s="3" t="s">
        <v>85</v>
      </c>
      <c r="B17" s="8" t="s">
        <v>29</v>
      </c>
      <c r="C17" s="3" t="s">
        <v>86</v>
      </c>
      <c r="D17" s="3" t="s">
        <v>87</v>
      </c>
      <c r="E17" s="3" t="s">
        <v>88</v>
      </c>
    </row>
    <row r="18" customFormat="false" ht="61.5" hidden="false" customHeight="true" outlineLevel="0" collapsed="false">
      <c r="A18" s="3" t="s">
        <v>89</v>
      </c>
      <c r="B18" s="7" t="s">
        <v>24</v>
      </c>
      <c r="C18" s="3" t="s">
        <v>90</v>
      </c>
      <c r="D18" s="3" t="s">
        <v>91</v>
      </c>
      <c r="E18" s="3" t="s">
        <v>92</v>
      </c>
    </row>
    <row r="19" customFormat="false" ht="61.5" hidden="false" customHeight="true" outlineLevel="0" collapsed="false">
      <c r="A19" s="3" t="s">
        <v>93</v>
      </c>
      <c r="B19" s="8" t="s">
        <v>29</v>
      </c>
      <c r="C19" s="3" t="s">
        <v>94</v>
      </c>
      <c r="D19" s="3" t="s">
        <v>95</v>
      </c>
      <c r="E19" s="3" t="s">
        <v>96</v>
      </c>
    </row>
    <row r="20" customFormat="false" ht="61.5" hidden="false" customHeight="true" outlineLevel="0" collapsed="false">
      <c r="A20" s="3" t="s">
        <v>97</v>
      </c>
      <c r="B20" s="8" t="s">
        <v>29</v>
      </c>
      <c r="C20" s="3" t="s">
        <v>98</v>
      </c>
      <c r="D20" s="3" t="s">
        <v>63</v>
      </c>
      <c r="E20" s="3" t="s">
        <v>99</v>
      </c>
    </row>
    <row r="21" customFormat="false" ht="61.5" hidden="false" customHeight="true" outlineLevel="0" collapsed="false">
      <c r="A21" s="3" t="s">
        <v>100</v>
      </c>
      <c r="B21" s="8" t="s">
        <v>29</v>
      </c>
      <c r="C21" s="3" t="s">
        <v>101</v>
      </c>
      <c r="D21" s="3" t="s">
        <v>63</v>
      </c>
      <c r="E21" s="3" t="s">
        <v>102</v>
      </c>
    </row>
    <row r="22" customFormat="false" ht="61.5" hidden="false" customHeight="true" outlineLevel="0" collapsed="false">
      <c r="A22" s="3" t="s">
        <v>103</v>
      </c>
      <c r="B22" s="8" t="s">
        <v>29</v>
      </c>
      <c r="C22" s="3" t="s">
        <v>104</v>
      </c>
      <c r="D22" s="3" t="s">
        <v>105</v>
      </c>
      <c r="E22" s="3" t="s">
        <v>106</v>
      </c>
    </row>
    <row r="23" customFormat="false" ht="61.5" hidden="false" customHeight="true" outlineLevel="0" collapsed="false">
      <c r="A23" s="3" t="s">
        <v>107</v>
      </c>
      <c r="B23" s="9" t="s">
        <v>108</v>
      </c>
      <c r="C23" s="3" t="s">
        <v>109</v>
      </c>
      <c r="D23" s="3" t="s">
        <v>110</v>
      </c>
      <c r="E23" s="3" t="s">
        <v>63</v>
      </c>
    </row>
    <row r="24" customFormat="false" ht="61.5" hidden="false" customHeight="true" outlineLevel="0" collapsed="false">
      <c r="A24" s="3" t="s">
        <v>111</v>
      </c>
      <c r="B24" s="8" t="s">
        <v>29</v>
      </c>
      <c r="C24" s="3" t="s">
        <v>112</v>
      </c>
      <c r="D24" s="3" t="s">
        <v>113</v>
      </c>
      <c r="E24" s="3" t="s">
        <v>114</v>
      </c>
    </row>
    <row r="25" customFormat="false" ht="61.5" hidden="false" customHeight="true" outlineLevel="0" collapsed="false">
      <c r="A25" s="3" t="s">
        <v>115</v>
      </c>
      <c r="B25" s="8" t="s">
        <v>29</v>
      </c>
      <c r="C25" s="3" t="s">
        <v>116</v>
      </c>
      <c r="D25" s="3" t="s">
        <v>63</v>
      </c>
      <c r="E25" s="3" t="s">
        <v>117</v>
      </c>
    </row>
    <row r="26" customFormat="false" ht="61.5" hidden="false" customHeight="true" outlineLevel="0" collapsed="false">
      <c r="A26" s="3" t="s">
        <v>118</v>
      </c>
      <c r="B26" s="8" t="s">
        <v>29</v>
      </c>
      <c r="C26" s="3" t="s">
        <v>119</v>
      </c>
      <c r="D26" s="3" t="s">
        <v>120</v>
      </c>
      <c r="E26" s="3" t="s">
        <v>121</v>
      </c>
    </row>
    <row r="27" customFormat="false" ht="61.5" hidden="false" customHeight="true" outlineLevel="0" collapsed="false">
      <c r="A27" s="3" t="s">
        <v>122</v>
      </c>
      <c r="B27" s="7" t="s">
        <v>24</v>
      </c>
      <c r="C27" s="3" t="s">
        <v>123</v>
      </c>
      <c r="D27" s="3" t="s">
        <v>124</v>
      </c>
      <c r="E27" s="3" t="s">
        <v>125</v>
      </c>
    </row>
    <row r="28" customFormat="false" ht="61.5" hidden="false" customHeight="true" outlineLevel="0" collapsed="false">
      <c r="A28" s="3" t="s">
        <v>126</v>
      </c>
      <c r="B28" s="8" t="s">
        <v>29</v>
      </c>
      <c r="C28" s="3" t="s">
        <v>127</v>
      </c>
      <c r="D28" s="3" t="s">
        <v>128</v>
      </c>
      <c r="E28" s="3" t="s">
        <v>129</v>
      </c>
    </row>
    <row r="29" customFormat="false" ht="61.5" hidden="false" customHeight="true" outlineLevel="0" collapsed="false">
      <c r="A29" s="3" t="s">
        <v>130</v>
      </c>
      <c r="B29" s="8" t="s">
        <v>29</v>
      </c>
      <c r="C29" s="3" t="s">
        <v>131</v>
      </c>
      <c r="D29" s="3" t="s">
        <v>132</v>
      </c>
      <c r="E29" s="3" t="s">
        <v>133</v>
      </c>
    </row>
    <row r="30" customFormat="false" ht="61.5" hidden="false" customHeight="true" outlineLevel="0" collapsed="false">
      <c r="A30" s="3" t="s">
        <v>134</v>
      </c>
      <c r="B30" s="8" t="s">
        <v>29</v>
      </c>
      <c r="C30" s="3" t="s">
        <v>135</v>
      </c>
      <c r="D30" s="3" t="s">
        <v>63</v>
      </c>
      <c r="E30" s="3" t="s">
        <v>136</v>
      </c>
    </row>
    <row r="31" customFormat="false" ht="61.5" hidden="false" customHeight="true" outlineLevel="0" collapsed="false">
      <c r="A31" s="3" t="s">
        <v>137</v>
      </c>
      <c r="B31" s="8" t="s">
        <v>29</v>
      </c>
      <c r="C31" s="3" t="s">
        <v>138</v>
      </c>
      <c r="D31" s="3" t="s">
        <v>139</v>
      </c>
      <c r="E31" s="3" t="s">
        <v>140</v>
      </c>
    </row>
    <row r="32" customFormat="false" ht="61.5" hidden="false" customHeight="true" outlineLevel="0" collapsed="false">
      <c r="A32" s="3" t="s">
        <v>141</v>
      </c>
      <c r="B32" s="8" t="s">
        <v>29</v>
      </c>
      <c r="C32" s="3" t="s">
        <v>142</v>
      </c>
      <c r="D32" s="3" t="s">
        <v>143</v>
      </c>
      <c r="E32" s="3" t="s">
        <v>144</v>
      </c>
    </row>
    <row r="33" customFormat="false" ht="61.5" hidden="false" customHeight="true" outlineLevel="0" collapsed="false">
      <c r="A33" s="3" t="s">
        <v>145</v>
      </c>
      <c r="B33" s="9" t="s">
        <v>108</v>
      </c>
      <c r="C33" s="3" t="s">
        <v>146</v>
      </c>
      <c r="D33" s="3" t="s">
        <v>147</v>
      </c>
      <c r="E33" s="3" t="s">
        <v>63</v>
      </c>
    </row>
    <row r="34" customFormat="false" ht="61.5" hidden="false" customHeight="true" outlineLevel="0" collapsed="false">
      <c r="A34" s="3" t="s">
        <v>148</v>
      </c>
      <c r="B34" s="7" t="s">
        <v>24</v>
      </c>
      <c r="C34" s="3" t="s">
        <v>149</v>
      </c>
      <c r="D34" s="3" t="s">
        <v>150</v>
      </c>
      <c r="E34" s="3" t="s">
        <v>151</v>
      </c>
    </row>
    <row r="35" customFormat="false" ht="61.5" hidden="false" customHeight="true" outlineLevel="0" collapsed="false">
      <c r="A35" s="3" t="s">
        <v>152</v>
      </c>
      <c r="B35" s="7" t="s">
        <v>24</v>
      </c>
      <c r="C35" s="3" t="s">
        <v>153</v>
      </c>
      <c r="D35" s="3" t="s">
        <v>154</v>
      </c>
      <c r="E35" s="3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9"/>
    <col collapsed="false" customWidth="true" hidden="false" outlineLevel="0" max="3" min="3" style="0" width="70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6" t="s">
        <v>156</v>
      </c>
      <c r="B1" s="6" t="s">
        <v>19</v>
      </c>
      <c r="C1" s="6" t="s">
        <v>157</v>
      </c>
      <c r="D1" s="6" t="s">
        <v>158</v>
      </c>
    </row>
    <row r="2" customFormat="false" ht="61.5" hidden="false" customHeight="true" outlineLevel="0" collapsed="false">
      <c r="A2" s="3" t="s">
        <v>159</v>
      </c>
      <c r="B2" s="10" t="s">
        <v>160</v>
      </c>
      <c r="C2" s="3" t="s">
        <v>161</v>
      </c>
      <c r="D2" s="3" t="s">
        <v>162</v>
      </c>
    </row>
    <row r="3" customFormat="false" ht="61.5" hidden="false" customHeight="true" outlineLevel="0" collapsed="false">
      <c r="A3" s="3" t="s">
        <v>163</v>
      </c>
      <c r="B3" s="10" t="s">
        <v>160</v>
      </c>
      <c r="C3" s="3" t="s">
        <v>164</v>
      </c>
      <c r="D3" s="3" t="s">
        <v>165</v>
      </c>
    </row>
    <row r="4" customFormat="false" ht="61.5" hidden="false" customHeight="true" outlineLevel="0" collapsed="false">
      <c r="A4" s="3" t="s">
        <v>166</v>
      </c>
      <c r="B4" s="10" t="s">
        <v>160</v>
      </c>
      <c r="C4" s="3" t="s">
        <v>167</v>
      </c>
      <c r="D4" s="3" t="s">
        <v>168</v>
      </c>
    </row>
    <row r="5" customFormat="false" ht="61.5" hidden="false" customHeight="true" outlineLevel="0" collapsed="false">
      <c r="A5" s="3" t="s">
        <v>169</v>
      </c>
      <c r="B5" s="10" t="s">
        <v>160</v>
      </c>
      <c r="C5" s="3" t="s">
        <v>170</v>
      </c>
      <c r="D5" s="3" t="s">
        <v>165</v>
      </c>
    </row>
    <row r="6" customFormat="false" ht="61.5" hidden="false" customHeight="true" outlineLevel="0" collapsed="false">
      <c r="A6" s="3" t="s">
        <v>171</v>
      </c>
      <c r="B6" s="10" t="s">
        <v>160</v>
      </c>
      <c r="C6" s="3" t="s">
        <v>172</v>
      </c>
      <c r="D6" s="3" t="s">
        <v>173</v>
      </c>
    </row>
    <row r="7" customFormat="false" ht="61.5" hidden="false" customHeight="true" outlineLevel="0" collapsed="false">
      <c r="A7" s="3" t="s">
        <v>174</v>
      </c>
      <c r="B7" s="11" t="s">
        <v>175</v>
      </c>
      <c r="C7" s="3" t="s">
        <v>176</v>
      </c>
      <c r="D7" s="3" t="s">
        <v>177</v>
      </c>
    </row>
    <row r="8" customFormat="false" ht="61.5" hidden="false" customHeight="true" outlineLevel="0" collapsed="false">
      <c r="A8" s="3" t="s">
        <v>178</v>
      </c>
      <c r="B8" s="11" t="s">
        <v>175</v>
      </c>
      <c r="C8" s="3" t="s">
        <v>179</v>
      </c>
      <c r="D8" s="3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6" t="s">
        <v>181</v>
      </c>
      <c r="B1" s="6" t="s">
        <v>182</v>
      </c>
      <c r="C1" s="6" t="s">
        <v>157</v>
      </c>
      <c r="D1" s="6" t="s">
        <v>158</v>
      </c>
    </row>
    <row r="2" customFormat="false" ht="61.5" hidden="false" customHeight="true" outlineLevel="0" collapsed="false">
      <c r="A2" s="3" t="s">
        <v>183</v>
      </c>
      <c r="B2" s="3" t="s">
        <v>184</v>
      </c>
      <c r="C2" s="3" t="s">
        <v>185</v>
      </c>
      <c r="D2" s="3" t="s">
        <v>186</v>
      </c>
    </row>
    <row r="3" customFormat="false" ht="61.5" hidden="false" customHeight="true" outlineLevel="0" collapsed="false">
      <c r="A3" s="3" t="s">
        <v>187</v>
      </c>
      <c r="B3" s="3" t="s">
        <v>184</v>
      </c>
      <c r="C3" s="3" t="s">
        <v>188</v>
      </c>
      <c r="D3" s="3" t="s">
        <v>189</v>
      </c>
    </row>
    <row r="4" customFormat="false" ht="61.5" hidden="false" customHeight="true" outlineLevel="0" collapsed="false">
      <c r="A4" s="3" t="s">
        <v>190</v>
      </c>
      <c r="B4" s="3" t="s">
        <v>184</v>
      </c>
      <c r="C4" s="3" t="s">
        <v>191</v>
      </c>
      <c r="D4" s="3" t="s">
        <v>189</v>
      </c>
    </row>
    <row r="5" customFormat="false" ht="61.5" hidden="false" customHeight="true" outlineLevel="0" collapsed="false">
      <c r="A5" s="3" t="s">
        <v>192</v>
      </c>
      <c r="B5" s="3" t="s">
        <v>184</v>
      </c>
      <c r="C5" s="3" t="s">
        <v>193</v>
      </c>
      <c r="D5" s="3" t="s">
        <v>194</v>
      </c>
    </row>
    <row r="6" customFormat="false" ht="61.5" hidden="false" customHeight="true" outlineLevel="0" collapsed="false">
      <c r="A6" s="3" t="s">
        <v>195</v>
      </c>
      <c r="B6" s="3" t="s">
        <v>196</v>
      </c>
      <c r="C6" s="3" t="s">
        <v>197</v>
      </c>
      <c r="D6" s="3" t="s">
        <v>189</v>
      </c>
    </row>
    <row r="7" customFormat="false" ht="61.5" hidden="false" customHeight="true" outlineLevel="0" collapsed="false">
      <c r="A7" s="3" t="s">
        <v>198</v>
      </c>
      <c r="B7" s="3" t="s">
        <v>196</v>
      </c>
      <c r="C7" s="3" t="s">
        <v>199</v>
      </c>
      <c r="D7" s="3" t="s">
        <v>200</v>
      </c>
    </row>
    <row r="8" customFormat="false" ht="61.5" hidden="false" customHeight="true" outlineLevel="0" collapsed="false">
      <c r="A8" s="3" t="s">
        <v>201</v>
      </c>
      <c r="B8" s="3" t="s">
        <v>196</v>
      </c>
      <c r="C8" s="3" t="s">
        <v>202</v>
      </c>
      <c r="D8" s="3" t="s">
        <v>200</v>
      </c>
    </row>
    <row r="9" customFormat="false" ht="61.5" hidden="false" customHeight="true" outlineLevel="0" collapsed="false">
      <c r="A9" s="3" t="s">
        <v>203</v>
      </c>
      <c r="B9" s="3" t="s">
        <v>196</v>
      </c>
      <c r="C9" s="3" t="s">
        <v>204</v>
      </c>
      <c r="D9" s="3" t="s">
        <v>200</v>
      </c>
    </row>
    <row r="10" customFormat="false" ht="61.5" hidden="false" customHeight="true" outlineLevel="0" collapsed="false">
      <c r="A10" s="3" t="s">
        <v>205</v>
      </c>
      <c r="B10" s="3" t="s">
        <v>196</v>
      </c>
      <c r="C10" s="3" t="s">
        <v>206</v>
      </c>
      <c r="D10" s="3" t="s">
        <v>207</v>
      </c>
    </row>
    <row r="11" customFormat="false" ht="61.5" hidden="false" customHeight="true" outlineLevel="0" collapsed="false">
      <c r="A11" s="3" t="s">
        <v>208</v>
      </c>
      <c r="B11" s="3" t="s">
        <v>196</v>
      </c>
      <c r="C11" s="3" t="s">
        <v>209</v>
      </c>
      <c r="D11" s="3" t="s">
        <v>200</v>
      </c>
    </row>
    <row r="12" customFormat="false" ht="61.5" hidden="false" customHeight="true" outlineLevel="0" collapsed="false">
      <c r="A12" s="3" t="s">
        <v>210</v>
      </c>
      <c r="B12" s="3" t="s">
        <v>196</v>
      </c>
      <c r="C12" s="3" t="s">
        <v>211</v>
      </c>
      <c r="D12" s="3" t="s">
        <v>200</v>
      </c>
    </row>
    <row r="13" customFormat="false" ht="61.5" hidden="false" customHeight="true" outlineLevel="0" collapsed="false">
      <c r="A13" s="3" t="s">
        <v>212</v>
      </c>
      <c r="B13" s="3" t="s">
        <v>196</v>
      </c>
      <c r="C13" s="3" t="s">
        <v>213</v>
      </c>
      <c r="D13" s="3" t="s">
        <v>214</v>
      </c>
    </row>
    <row r="14" customFormat="false" ht="61.5" hidden="false" customHeight="true" outlineLevel="0" collapsed="false">
      <c r="A14" s="3" t="s">
        <v>215</v>
      </c>
      <c r="B14" s="3" t="s">
        <v>196</v>
      </c>
      <c r="C14" s="3" t="s">
        <v>216</v>
      </c>
      <c r="D14" s="3" t="s">
        <v>200</v>
      </c>
    </row>
    <row r="15" customFormat="false" ht="61.5" hidden="false" customHeight="true" outlineLevel="0" collapsed="false">
      <c r="A15" s="3" t="s">
        <v>217</v>
      </c>
      <c r="B15" s="3" t="s">
        <v>218</v>
      </c>
      <c r="C15" s="3" t="s">
        <v>219</v>
      </c>
      <c r="D15" s="3" t="s">
        <v>200</v>
      </c>
    </row>
    <row r="16" customFormat="false" ht="61.5" hidden="false" customHeight="true" outlineLevel="0" collapsed="false">
      <c r="A16" s="3" t="s">
        <v>220</v>
      </c>
      <c r="B16" s="3" t="s">
        <v>196</v>
      </c>
      <c r="C16" s="3" t="s">
        <v>221</v>
      </c>
      <c r="D16" s="3" t="s">
        <v>200</v>
      </c>
    </row>
    <row r="17" customFormat="false" ht="61.5" hidden="false" customHeight="true" outlineLevel="0" collapsed="false">
      <c r="A17" s="3" t="s">
        <v>222</v>
      </c>
      <c r="B17" s="3" t="s">
        <v>218</v>
      </c>
      <c r="C17" s="3" t="s">
        <v>223</v>
      </c>
      <c r="D17" s="3" t="s">
        <v>200</v>
      </c>
    </row>
    <row r="18" customFormat="false" ht="61.5" hidden="false" customHeight="true" outlineLevel="0" collapsed="false">
      <c r="A18" s="3" t="s">
        <v>224</v>
      </c>
      <c r="B18" s="3" t="s">
        <v>218</v>
      </c>
      <c r="C18" s="3" t="s">
        <v>225</v>
      </c>
      <c r="D18" s="3" t="s">
        <v>226</v>
      </c>
    </row>
    <row r="19" customFormat="false" ht="61.5" hidden="false" customHeight="true" outlineLevel="0" collapsed="false">
      <c r="A19" s="3" t="s">
        <v>227</v>
      </c>
      <c r="B19" s="3" t="s">
        <v>228</v>
      </c>
      <c r="C19" s="3" t="s">
        <v>229</v>
      </c>
      <c r="D19" s="3" t="s">
        <v>230</v>
      </c>
    </row>
    <row r="20" customFormat="false" ht="61.5" hidden="false" customHeight="true" outlineLevel="0" collapsed="false">
      <c r="A20" s="3" t="s">
        <v>231</v>
      </c>
      <c r="B20" s="3" t="s">
        <v>232</v>
      </c>
      <c r="C20" s="3" t="s">
        <v>233</v>
      </c>
      <c r="D20" s="3" t="s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2026-10-09T07:58:02Z</dcterms:created>
  <dc:creator>openpyxl</dc:creator>
  <dc:description/>
  <dc:language>en-US</dc:language>
  <cp:lastModifiedBy/>
  <dcterms:modified xsi:type="dcterms:W3CDTF">2026-10-09T07:58:02Z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