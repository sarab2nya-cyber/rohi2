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ماتریس" sheetId="2" state="visible" r:id="rId4"/>
    <sheet name="اصلاح_ارجاعات" sheetId="3" state="visible" r:id="rId5"/>
    <sheet name="منابع_رسمی" sheetId="4" state="visible" r:id="rId6"/>
    <sheet name="مقایسه_دو_گروه" sheetId="5" state="visible" r:id="rId7"/>
  </sheets>
  <definedNames>
    <definedName function="false" hidden="true" localSheetId="1" name="_xlnm._FilterDatabase" vbProcedure="false">ماتریس!$A$4:$M$34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<sst xmlns="http://schemas.openxmlformats.org/spreadsheetml/2006/main" count="489" uniqueCount="368">
  <si>
    <t xml:space="preserve">ماتریس مولفه‌های ارزیابی ریسک سایبری توسط حسابرسان – پیش‌نویس مرحله اول پژوهش</t>
  </si>
  <si>
    <t xml:space="preserve">ساختار: ۲۱ مولفه با دیدگاه سازمان/مشترک (C01–C21) و ۹ مولفه مختص حسابرس (A01–A09).</t>
  </si>
  <si>
    <t xml:space="preserve">هدف: مبنای دلفی/مصاحبه با دو گروه (سازمان مورد رسیدگی و حسابرسان) و سپس مدل ساختاری در مقاله دوم.</t>
  </si>
  <si>
    <t xml:space="preserve">هشدار: تمام ارجاع‌ها از حافظه و چک‌لیست‌های اولیه تنظیم شده‌اند و باید با متن رسمی تطبیق شوند.</t>
  </si>
  <si>
    <t xml:space="preserve">سلول‌های زردرنگ ورودی پژوهشگر هستند (پیشینه پژوهش، امتیازات دو گروه).</t>
  </si>
  <si>
    <t xml:space="preserve">پس از اعتبارسنجی، ۳۰ مولفه باید به ۶ تا ۸ بُعد با زیرمولفه‌های ادغام‌شده کاهش یابد.</t>
  </si>
  <si>
    <t xml:space="preserve">شاخص</t>
  </si>
  <si>
    <t xml:space="preserve">مقدار</t>
  </si>
  <si>
    <t xml:space="preserve">توضیح</t>
  </si>
  <si>
    <t xml:space="preserve">تعداد کل مولفه‌ها</t>
  </si>
  <si>
    <t xml:space="preserve">مولفه‌های دیدگاه سازمان</t>
  </si>
  <si>
    <t xml:space="preserve">مولفه‌های دیدگاه حسابرس</t>
  </si>
  <si>
    <t xml:space="preserve">مولفه‌های مشترک</t>
  </si>
  <si>
    <t xml:space="preserve">پل بین دو دیدگاه؛ مبنای مقایسه دو گروه</t>
  </si>
  <si>
    <t xml:space="preserve">میانگین تعداد چارچوب‌های پشتیبان (مولفه‌های غیرحسابرس)</t>
  </si>
  <si>
    <t xml:space="preserve">ستون‌های AICPA تا ISO 27005/سایر</t>
  </si>
  <si>
    <t xml:space="preserve">ماتریس نگاشت مولفه‌های ارزیابی ریسک سایبری در حسابرسی: دیدگاه سازمان و دیدگاه حسابرس</t>
  </si>
  <si>
    <t xml:space="preserve">توجه: ارجاع‌ها فقط تا حدی با منابع ثانویه کنترل شده‌اند (ساختار NIST CSF 2.0، ISO 27002:2022 و TSC) و شماره دقیق بندها باید با متن رسمی در شیت «منابع_رسمی» تطبیق و تیک بخورد. ستون «پیشینه پژوهش» را خودتان پر کنید.</t>
  </si>
  <si>
    <t xml:space="preserve">کد</t>
  </si>
  <si>
    <t xml:space="preserve">بُعد</t>
  </si>
  <si>
    <t xml:space="preserve">مولفه</t>
  </si>
  <si>
    <t xml:space="preserve">تعریف عملیاتی</t>
  </si>
  <si>
    <t xml:space="preserve">دیدگاه</t>
  </si>
  <si>
    <t xml:space="preserve">AICPA (TSC 2017 با نکات 2022 / SOC for Cybersecurity)</t>
  </si>
  <si>
    <t xml:space="preserve">NIST CSF 2.0 (و SP 800)</t>
  </si>
  <si>
    <t xml:space="preserve">ISO/IEC 27001:2022 و 27002:2022</t>
  </si>
  <si>
    <t xml:space="preserve">ISO/IEC 27005:2022 و سایر ISO</t>
  </si>
  <si>
    <t xml:space="preserve">لایه حسابرسی (ISA / AU-C / PCAOB)</t>
  </si>
  <si>
    <t xml:space="preserve">پیشینه پژوهش (تکمیل شود)</t>
  </si>
  <si>
    <t xml:space="preserve">تعداد چارچوب‌های پشتیبان</t>
  </si>
  <si>
    <t xml:space="preserve">وضعیت راستی‌آزمایی</t>
  </si>
  <si>
    <t xml:space="preserve">C01</t>
  </si>
  <si>
    <t xml:space="preserve">۱. حاکمیت و راهبرد</t>
  </si>
  <si>
    <t xml:space="preserve">حاکمیت و نظارت مدیران ارشد بر ریسک سایبری</t>
  </si>
  <si>
    <t xml:space="preserve">نقش هیئت‌مدیره و مدیریت ارشد در تعیین ریسک‌پذیری، مسئولیت‌ها و نظارت بر برنامه ریسک سایبری</t>
  </si>
  <si>
    <t xml:space="preserve">سازمان</t>
  </si>
  <si>
    <t xml:space="preserve">CC1.2, CC1.3, CC2.2</t>
  </si>
  <si>
    <t xml:space="preserve">GV.OV, GV.RR, GV.RM</t>
  </si>
  <si>
    <t xml:space="preserve">بند 5 (رهبری), 9.3</t>
  </si>
  <si>
    <t xml:space="preserve">ISA 315 (Revised 2019) – درک محیط کنترلی; ISA 260</t>
  </si>
  <si>
    <t xml:space="preserve">ساختار با منابع ثانویه سازگار؛ بند/زیرمعیار دقیق هنوز با متن رسمی تطبیق نشده</t>
  </si>
  <si>
    <t xml:space="preserve">C02</t>
  </si>
  <si>
    <t xml:space="preserve">سیاست‌ها و راهبرد امنیت سایبری</t>
  </si>
  <si>
    <t xml:space="preserve">وجود سیاست‌های مصوب، راهبرد و ارتباط آن با اهداف کسب‌وکار</t>
  </si>
  <si>
    <t xml:space="preserve">CC1.1, CC5.3</t>
  </si>
  <si>
    <t xml:space="preserve">GV.PO, GV.OC</t>
  </si>
  <si>
    <t xml:space="preserve">5.2, 5.3; Annex A 5.1</t>
  </si>
  <si>
    <t xml:space="preserve">ISA 315 – درک محیط کنترلی</t>
  </si>
  <si>
    <t xml:space="preserve">C03</t>
  </si>
  <si>
    <t xml:space="preserve">تعیین زمینه، دامنه و اهداف ارزیابی</t>
  </si>
  <si>
    <t xml:space="preserve">تعریف سیستم‌ها، فرایندها، داده‌ها و ذینفعان در دامنه ارزیابی</t>
  </si>
  <si>
    <t xml:space="preserve">مشترک</t>
  </si>
  <si>
    <t xml:space="preserve">CC3.1; توصیف سیستم (DC200 در SOC for Cybersecurity)</t>
  </si>
  <si>
    <t xml:space="preserve">GV.OC</t>
  </si>
  <si>
    <t xml:space="preserve">بندهای 4.1 تا 4.3</t>
  </si>
  <si>
    <t xml:space="preserve">27005 (بند زمینه); ISO 31010; ISO 31000</t>
  </si>
  <si>
    <t xml:space="preserve">ISA 315 – درک نهاد و محیط آن</t>
  </si>
  <si>
    <t xml:space="preserve">C04</t>
  </si>
  <si>
    <t xml:space="preserve">۲. فرایند ارزیابی ریسک</t>
  </si>
  <si>
    <t xml:space="preserve">شناسایی و طبقه‌بندی دارایی‌ها</t>
  </si>
  <si>
    <t xml:space="preserve">فهرست به‌روز دارایی‌های اطلاعاتی، نرم‌افزار، سخت‌افزار، ابر و داده‌های بحرانی و اولویت‌بندی آن‌ها</t>
  </si>
  <si>
    <t xml:space="preserve">CC3.2, CC6.1</t>
  </si>
  <si>
    <t xml:space="preserve">ID.AM</t>
  </si>
  <si>
    <t xml:space="preserve">Annex A 5.9, 5.12</t>
  </si>
  <si>
    <t xml:space="preserve">27005 (شناسایی دارایی‌ها)</t>
  </si>
  <si>
    <t xml:space="preserve">ISA 315 – درک محیط IT و سیستم اطلاعاتی</t>
  </si>
  <si>
    <t xml:space="preserve">C05</t>
  </si>
  <si>
    <t xml:space="preserve">شناسایی تهدید و اطلاعات تهدید</t>
  </si>
  <si>
    <t xml:space="preserve">شناسایی تهدیدها و عوامل تهدید داخلی و خارجی</t>
  </si>
  <si>
    <t xml:space="preserve">CC3.2, CC7.2</t>
  </si>
  <si>
    <t xml:space="preserve">ID.RA, DE.AE</t>
  </si>
  <si>
    <t xml:space="preserve">Annex A 5.7</t>
  </si>
  <si>
    <t xml:space="preserve">27005 (شناسایی ریسک)</t>
  </si>
  <si>
    <t xml:space="preserve">C06</t>
  </si>
  <si>
    <t xml:space="preserve">مدیریت آسیب‌پذیری و آزمون نفوذ</t>
  </si>
  <si>
    <t xml:space="preserve">ارزیابی آسیب‌پذیری، تست نفوذ و تمرین تیم قرمز</t>
  </si>
  <si>
    <t xml:space="preserve">CC7.1</t>
  </si>
  <si>
    <t xml:space="preserve">ID.RA, PR.PS</t>
  </si>
  <si>
    <t xml:space="preserve">Annex A 8.8, 8.29</t>
  </si>
  <si>
    <t xml:space="preserve">ISO/IEC 27034 (امنیت برنامه‌ها)</t>
  </si>
  <si>
    <t xml:space="preserve">ISA 330 – روش‌های حسابرسی تکمیلی</t>
  </si>
  <si>
    <t xml:space="preserve">C07</t>
  </si>
  <si>
    <t xml:space="preserve">تحلیل و ارزیابی ریسک (احتمال، اثر، رتبه‌بندی)</t>
  </si>
  <si>
    <t xml:space="preserve">تحلیل احتمال و اثر، رتبه‌بندی و اولویت‌بندی ریسک‌های شناسایی‌شده</t>
  </si>
  <si>
    <t xml:space="preserve">CC3.2</t>
  </si>
  <si>
    <t xml:space="preserve">GV.RM, ID.RA; SP 800-30 Rev.1</t>
  </si>
  <si>
    <t xml:space="preserve">6.1.2, 8.2</t>
  </si>
  <si>
    <t xml:space="preserve">27005 (تحلیل/ارزیابی ریسک); ISO 31010</t>
  </si>
  <si>
    <t xml:space="preserve">ISA 315 – شناسایی و ارزیابی ریسک تحریف با اهمیت</t>
  </si>
  <si>
    <t xml:space="preserve">C08</t>
  </si>
  <si>
    <t xml:space="preserve">ریسک تقلب سایبری و تغییرات محیط</t>
  </si>
  <si>
    <t xml:space="preserve">ارزیابی ریسک تقلب و اثر تغییرات سازمانی/فناورانه بر ریسک</t>
  </si>
  <si>
    <t xml:space="preserve">CC3.3, CC3.4</t>
  </si>
  <si>
    <t xml:space="preserve">ID.IM, GV.RM</t>
  </si>
  <si>
    <t xml:space="preserve">6.1, 6.3</t>
  </si>
  <si>
    <t xml:space="preserve">ISO 31000</t>
  </si>
  <si>
    <t xml:space="preserve">ISA 240</t>
  </si>
  <si>
    <t xml:space="preserve">C09</t>
  </si>
  <si>
    <t xml:space="preserve">۳. کنترل و کاهش ریسک</t>
  </si>
  <si>
    <t xml:space="preserve">اجرای کنترل‌ها و برنامه برطرف‌سازی ریسک</t>
  </si>
  <si>
    <t xml:space="preserve">انتخاب و اجرای کنترل‌ها، بیانیه کاربست‌پذیری و پذیرش ریسک باقیمانده</t>
  </si>
  <si>
    <t xml:space="preserve">CC5.1, CC5.2</t>
  </si>
  <si>
    <t xml:space="preserve">GV.RM, PR</t>
  </si>
  <si>
    <t xml:space="preserve">6.1.3, 8.3</t>
  </si>
  <si>
    <t xml:space="preserve">27005 (مقابله با ریسک)</t>
  </si>
  <si>
    <t xml:space="preserve">ISA 315 – شناسایی کنترل‌های مرتبط</t>
  </si>
  <si>
    <t xml:space="preserve">C10</t>
  </si>
  <si>
    <t xml:space="preserve">کنترل دسترسی و احراز هویت</t>
  </si>
  <si>
    <t xml:space="preserve">مدیریت هویت، دسترسی‌ها، امتیازات و احراز هویت چندعاملی</t>
  </si>
  <si>
    <t xml:space="preserve">CC6.1, CC6.2, CC6.3</t>
  </si>
  <si>
    <t xml:space="preserve">PR.AA</t>
  </si>
  <si>
    <t xml:space="preserve">Annex A 5.15–5.18, 8.2, 8.5</t>
  </si>
  <si>
    <t xml:space="preserve">ITGC (ISA 315, ISA 330; PCAOB AS 2201)</t>
  </si>
  <si>
    <t xml:space="preserve">C11</t>
  </si>
  <si>
    <t xml:space="preserve">حفاظت از داده و رمزنگاری</t>
  </si>
  <si>
    <t xml:space="preserve">طبقه‌بندی، رمزنگاری، پشتیبان‌گیری و کنترل انتقال داده</t>
  </si>
  <si>
    <t xml:space="preserve">CC6.1, CC6.7, C1.1</t>
  </si>
  <si>
    <t xml:space="preserve">PR.DS</t>
  </si>
  <si>
    <t xml:space="preserve">Annex A 5.12–5.14, 8.24</t>
  </si>
  <si>
    <t xml:space="preserve">C12</t>
  </si>
  <si>
    <t xml:space="preserve">امنیت شبکه، زیرساخت و محیط فیزیکی</t>
  </si>
  <si>
    <t xml:space="preserve">کنترل‌های شبکه، تجهیزات، مراکز داده و امنیت فیزیکی</t>
  </si>
  <si>
    <t xml:space="preserve">CC6.4, CC6.6, CC6.8</t>
  </si>
  <si>
    <t xml:space="preserve">PR.IR, PR.PS</t>
  </si>
  <si>
    <t xml:space="preserve">Annex A 7.x, 8.20–8.22</t>
  </si>
  <si>
    <t xml:space="preserve">ISO/IEC 27033</t>
  </si>
  <si>
    <t xml:space="preserve">C13</t>
  </si>
  <si>
    <t xml:space="preserve">توسعه امن و مدیریت تغییرات</t>
  </si>
  <si>
    <t xml:space="preserve">رویه‌های کنترل تغییر، توسعه امن و آزمون پذیرش</t>
  </si>
  <si>
    <t xml:space="preserve">CC8.1</t>
  </si>
  <si>
    <t xml:space="preserve">PR.PS</t>
  </si>
  <si>
    <t xml:space="preserve">Annex A 8.25–8.32</t>
  </si>
  <si>
    <t xml:space="preserve">ISO/IEC 27034</t>
  </si>
  <si>
    <t xml:space="preserve">ITGC – مدیریت تغییر برنامه</t>
  </si>
  <si>
    <t xml:space="preserve">C14</t>
  </si>
  <si>
    <t xml:space="preserve">آگاهی و آموزش امنیتی</t>
  </si>
  <si>
    <t xml:space="preserve">آموزش کارکنان، کمپین آگاهی و ارزیابی مهندسی اجتماعی/فیشینگ</t>
  </si>
  <si>
    <t xml:space="preserve">CC1.4, CC2.2</t>
  </si>
  <si>
    <t xml:space="preserve">PR.AT</t>
  </si>
  <si>
    <t xml:space="preserve">7.3; Annex A 6.3</t>
  </si>
  <si>
    <t xml:space="preserve">C15</t>
  </si>
  <si>
    <t xml:space="preserve">ریسک شخص ثالث و زنجیره تأمین</t>
  </si>
  <si>
    <t xml:space="preserve">ارزیابی ارائه‌دهندگان خدمات، قراردادها و پایش مستمر</t>
  </si>
  <si>
    <t xml:space="preserve">CC9.2</t>
  </si>
  <si>
    <t xml:space="preserve">GV.SC</t>
  </si>
  <si>
    <t xml:space="preserve">Annex A 5.19–5.23</t>
  </si>
  <si>
    <t xml:space="preserve">ISO/IEC 27036</t>
  </si>
  <si>
    <t xml:space="preserve">ISA 402 – سازمان‌های خدماتی</t>
  </si>
  <si>
    <t xml:space="preserve">C16</t>
  </si>
  <si>
    <t xml:space="preserve">۴. پایش و پاسخ</t>
  </si>
  <si>
    <t xml:space="preserve">پایش مستمر و ثبت وقایع</t>
  </si>
  <si>
    <t xml:space="preserve">ثبت و تحلیل لاگ‌ها، SIEM و کشف ناهنجاری</t>
  </si>
  <si>
    <t xml:space="preserve">CC7.2, CC4.1</t>
  </si>
  <si>
    <t xml:space="preserve">DE.CM, DE.AE; SP 800-92</t>
  </si>
  <si>
    <t xml:space="preserve">Annex A 8.15, 8.16; 9.1</t>
  </si>
  <si>
    <t xml:space="preserve">ISA 500 – شواهد حسابرسی الکترونیکی</t>
  </si>
  <si>
    <t xml:space="preserve">C17</t>
  </si>
  <si>
    <t xml:space="preserve">مدیریت و پاسخ به حوادث</t>
  </si>
  <si>
    <t xml:space="preserve">طرح پاسخ، آزمون طرح، مهار، تحلیل و ارتباطات</t>
  </si>
  <si>
    <t xml:space="preserve">CC7.3, CC7.4</t>
  </si>
  <si>
    <t xml:space="preserve">RS.MA, RS.AN, RS.CO, RS.MI; SP 800-61 Rev.3</t>
  </si>
  <si>
    <t xml:space="preserve">Annex A 5.24–5.28</t>
  </si>
  <si>
    <t xml:space="preserve">C18</t>
  </si>
  <si>
    <t xml:space="preserve">تداوم کسب‌وکار و بازیابی از بحران</t>
  </si>
  <si>
    <t xml:space="preserve">طرح تداوم، آمادگی ICT و آزمون بازیابی</t>
  </si>
  <si>
    <t xml:space="preserve">CC7.5, CC9.1, A1.2, A1.3</t>
  </si>
  <si>
    <t xml:space="preserve">RC.RP, RC.CO</t>
  </si>
  <si>
    <t xml:space="preserve">Annex A 5.29, 5.30, 8.13, 8.14</t>
  </si>
  <si>
    <t xml:space="preserve">ISO/IEC 27031; ISO 22301</t>
  </si>
  <si>
    <t xml:space="preserve">ISA 570 – تداوم فعالیت</t>
  </si>
  <si>
    <t xml:space="preserve">C19</t>
  </si>
  <si>
    <t xml:space="preserve">۵. انطباق، بهبود و گزارشگری</t>
  </si>
  <si>
    <t xml:space="preserve">انطباق با الزامات قانونی و حریم خصوصی</t>
  </si>
  <si>
    <t xml:space="preserve">رعایت قوانین/مقررات ملی و صنعتی؛ ارزیابی اثر حریم خصوصی</t>
  </si>
  <si>
    <t xml:space="preserve">CC2.3, سری P (حریم خصوصی)</t>
  </si>
  <si>
    <t xml:space="preserve">Annex A 5.31, 5.34</t>
  </si>
  <si>
    <t xml:space="preserve">ISO/IEC 29134 (PIA)</t>
  </si>
  <si>
    <t xml:space="preserve">ISA 250</t>
  </si>
  <si>
    <t xml:space="preserve">C20</t>
  </si>
  <si>
    <t xml:space="preserve">بهبود مستمر و ارزیابی اثربخشی</t>
  </si>
  <si>
    <t xml:space="preserve">ممیزی داخلی، بازنگری مدیریت و بهبود مستمر</t>
  </si>
  <si>
    <t xml:space="preserve">CC4.1, CC4.2</t>
  </si>
  <si>
    <t xml:space="preserve">ID.IM</t>
  </si>
  <si>
    <t xml:space="preserve">9.2, 9.3, 10</t>
  </si>
  <si>
    <t xml:space="preserve">C21</t>
  </si>
  <si>
    <t xml:space="preserve">مستندسازی و گزارشگری ریسک</t>
  </si>
  <si>
    <t xml:space="preserve">ثبت یافته‌ها و گزارش به مدیریت و ذینفعان</t>
  </si>
  <si>
    <t xml:space="preserve">CC2.1, CC2.3</t>
  </si>
  <si>
    <t xml:space="preserve">GV.OV</t>
  </si>
  <si>
    <t xml:space="preserve">7.5, 9.3</t>
  </si>
  <si>
    <t xml:space="preserve">ISA 265; ISA 260</t>
  </si>
  <si>
    <t xml:space="preserve">A01</t>
  </si>
  <si>
    <t xml:space="preserve">۶. فرایند حسابرسی ریسک سایبری</t>
  </si>
  <si>
    <t xml:space="preserve">درک سازمان، محیط IT و سیستم اطلاعاتی</t>
  </si>
  <si>
    <t xml:space="preserve">کسب درک از فناوری، سیستم‌های مالی و وابستگی کسب‌وکار به IT</t>
  </si>
  <si>
    <t xml:space="preserve">حسابرس</t>
  </si>
  <si>
    <t xml:space="preserve">ISA 315 (Revised 2019); AU-C 315; PCAOB AS 2110</t>
  </si>
  <si>
    <t xml:space="preserve">A02</t>
  </si>
  <si>
    <t xml:space="preserve">ارزیابی اثر ریسک سایبری بر ریسک تحریف با اهمیت</t>
  </si>
  <si>
    <t xml:space="preserve">اتصال ریسک سایبری به ادعاهای صورت‌های مالی و ریسک‌های ذاتی</t>
  </si>
  <si>
    <t xml:space="preserve">ISA 315; ISA 240; ISA 450</t>
  </si>
  <si>
    <t xml:space="preserve">A03</t>
  </si>
  <si>
    <t xml:space="preserve">ارزیابی طراحی و اثربخشی کنترل‌های عمومی IT</t>
  </si>
  <si>
    <t xml:space="preserve">آزمون طراحی/اجرای ITGC و تعیین اتکا به کنترل‌ها</t>
  </si>
  <si>
    <t xml:space="preserve">ISA 315; ISA 330; PCAOB AS 2201</t>
  </si>
  <si>
    <t xml:space="preserve">A04</t>
  </si>
  <si>
    <t xml:space="preserve">کفایت و قابلیت اتکای شواهد الکترونیکی</t>
  </si>
  <si>
    <t xml:space="preserve">ارزیابی کفایت، مربوط‌بودن و یکپارچگی شواهد و داده‌ها</t>
  </si>
  <si>
    <t xml:space="preserve">ISA 500; ISA 230</t>
  </si>
  <si>
    <t xml:space="preserve">A05</t>
  </si>
  <si>
    <t xml:space="preserve">۷. اتکا، صلاحیت و گزارشگری حسابرس</t>
  </si>
  <si>
    <t xml:space="preserve">اتکا به گزارش‌های سازمان خدماتی</t>
  </si>
  <si>
    <t xml:space="preserve">ارزیابی گزارش SOC 1 / SOC 2 / SOC for Cybersecurity</t>
  </si>
  <si>
    <t xml:space="preserve">گزارش‌های SOC 2 و SOC for Cybersecurity</t>
  </si>
  <si>
    <t xml:space="preserve">ISA 402</t>
  </si>
  <si>
    <t xml:space="preserve">A06</t>
  </si>
  <si>
    <t xml:space="preserve">شایستگی فنی حسابرس و استفاده از کارشناس</t>
  </si>
  <si>
    <t xml:space="preserve">مهارت سایبری حسابرس، به‌کارگیری کارشناس IT و کنترل کیفیت</t>
  </si>
  <si>
    <t xml:space="preserve">ISA 620; ISA 220; ISQM 1</t>
  </si>
  <si>
    <t xml:space="preserve">A07</t>
  </si>
  <si>
    <t xml:space="preserve">ارزیابی اثر حوادث سایبری بر صورت‌های مالی و افشا</t>
  </si>
  <si>
    <t xml:space="preserve">حادثه سایبری، رویدادهای پس از تاریخ ترازنامه، تداوم فعالیت و افشا</t>
  </si>
  <si>
    <t xml:space="preserve">ISA 450; ISA 560; ISA 570; ISA 250</t>
  </si>
  <si>
    <t xml:space="preserve">A08</t>
  </si>
  <si>
    <t xml:space="preserve">ارتباط با راهبران و گزارش نقاط ضعف کنترلی</t>
  </si>
  <si>
    <t xml:space="preserve">اطلاع‌رسانی ضعف‌های کنترلی سایبری به مدیریت و راهبران</t>
  </si>
  <si>
    <t xml:space="preserve">ISA 260; ISA 265</t>
  </si>
  <si>
    <t xml:space="preserve">A09</t>
  </si>
  <si>
    <t xml:space="preserve">قضاوت و تردید حرفه‌ای در ریسک سایبری</t>
  </si>
  <si>
    <t xml:space="preserve">اعمال قضاوت حرفه‌ای در ارزیابی ریسک سایبری و تردید حرفه‌ای</t>
  </si>
  <si>
    <t xml:space="preserve">ISA 200</t>
  </si>
  <si>
    <t xml:space="preserve">اصلاح ارجاع‌های چک‌لیست‌های اولیه (پیش‌نویس – قبل از استفاده با متن رسمی تطبیق داده شود)</t>
  </si>
  <si>
    <t xml:space="preserve">ردیف</t>
  </si>
  <si>
    <t xml:space="preserve">مرحله در چک‌لیست اولیه</t>
  </si>
  <si>
    <t xml:space="preserve">ارجاع اولیه</t>
  </si>
  <si>
    <t xml:space="preserve">ارجاع پیشنهادی</t>
  </si>
  <si>
    <t xml:space="preserve">تعیین دامنه ارزیابی</t>
  </si>
  <si>
    <t xml:space="preserve">SOC 2 CC1.2</t>
  </si>
  <si>
    <t xml:space="preserve">CC3.1 و توصیف سیستم (DC200)</t>
  </si>
  <si>
    <t xml:space="preserve">CC1.2 مربوط به استقلال و نظارت هیئت‌مدیره است.</t>
  </si>
  <si>
    <t xml:space="preserve">شناسایی دارایی‌های بحرانی</t>
  </si>
  <si>
    <t xml:space="preserve">SOC 2 CC3.1</t>
  </si>
  <si>
    <t xml:space="preserve">CC3.1 مربوط به تعیین اهداف است.</t>
  </si>
  <si>
    <t xml:space="preserve">شناسایی تهدید و تحلیل ریسک</t>
  </si>
  <si>
    <t xml:space="preserve">SOC 2 CC3.2</t>
  </si>
  <si>
    <t xml:space="preserve">CC3.2 (درست)</t>
  </si>
  <si>
    <t xml:space="preserve">تغییری لازم نیست.</t>
  </si>
  <si>
    <t xml:space="preserve">ارزیابی آسیب‌پذیری</t>
  </si>
  <si>
    <t xml:space="preserve">کشف آسیب‌پذیری‌ها و تغییرات پیکربندی در CC7.1 است.</t>
  </si>
  <si>
    <t xml:space="preserve">کنترل و کاهش ریسک</t>
  </si>
  <si>
    <t xml:space="preserve">SOC 2 CC3.3</t>
  </si>
  <si>
    <t xml:space="preserve">CC5.1, CC5.2 (و CC3.4 برای تغییرات)</t>
  </si>
  <si>
    <t xml:space="preserve">CC3.3 مربوط به ریسک تقلب است.</t>
  </si>
  <si>
    <t xml:space="preserve">برنامه پاسخ به حوادث</t>
  </si>
  <si>
    <t xml:space="preserve">SOC 2 CC6.1</t>
  </si>
  <si>
    <t xml:space="preserve">CC7.3 تا CC7.5</t>
  </si>
  <si>
    <t xml:space="preserve">CC6.1 دسترسی منطقی است.</t>
  </si>
  <si>
    <t xml:space="preserve">حفاظت از داده‌ها</t>
  </si>
  <si>
    <t xml:space="preserve">SOC 2 CC6.2</t>
  </si>
  <si>
    <t xml:space="preserve">CC6.1, CC6.7</t>
  </si>
  <si>
    <t xml:space="preserve">CC6.2 ثبت و مجوز کاربران است.</t>
  </si>
  <si>
    <t xml:space="preserve">مدیریت تغییرات</t>
  </si>
  <si>
    <t xml:space="preserve">SOC 2 CC8.1</t>
  </si>
  <si>
    <t xml:space="preserve">CC8.1 (درست)</t>
  </si>
  <si>
    <t xml:space="preserve">آموزش آگاهی</t>
  </si>
  <si>
    <t xml:space="preserve">SOC 2 CC9.1</t>
  </si>
  <si>
    <t xml:space="preserve">CC9.1 کاهش ریسک اختلال کسب‌وکار است.</t>
  </si>
  <si>
    <t xml:space="preserve">ریسک شخص ثالث</t>
  </si>
  <si>
    <t xml:space="preserve">SOC 2 CC9.2</t>
  </si>
  <si>
    <t xml:space="preserve">CC9.2 (درست)</t>
  </si>
  <si>
    <t xml:space="preserve">نظارت و ثبت وقایع</t>
  </si>
  <si>
    <t xml:space="preserve">SOC 2 CC10.1</t>
  </si>
  <si>
    <t xml:space="preserve">معیار CC10 در TSC وجود ندارد.</t>
  </si>
  <si>
    <t xml:space="preserve">تداوم فعالیت</t>
  </si>
  <si>
    <t xml:space="preserve">SOC 2 CC11.1</t>
  </si>
  <si>
    <t xml:space="preserve">معیار CC11 در TSC وجود ندارد.</t>
  </si>
  <si>
    <t xml:space="preserve">ISO 27001</t>
  </si>
  <si>
    <t xml:space="preserve">نسخه 2013</t>
  </si>
  <si>
    <t xml:space="preserve">ISO/IEC 27001:2022</t>
  </si>
  <si>
    <t xml:space="preserve">نسخه 2013 منسوخ شده است؛ پیوست A به 93 کنترل تغییر کرده است.</t>
  </si>
  <si>
    <t xml:space="preserve">ISO 27002</t>
  </si>
  <si>
    <t xml:space="preserve">ISO/IEC 27002:2022</t>
  </si>
  <si>
    <t xml:space="preserve">ساختار چهارگروهی کنترل‌ها.</t>
  </si>
  <si>
    <t xml:space="preserve">ISO 27005</t>
  </si>
  <si>
    <t xml:space="preserve">نسخه 2018</t>
  </si>
  <si>
    <t xml:space="preserve">ISO/IEC 27005:2022</t>
  </si>
  <si>
    <t xml:space="preserve">نسخه جدید جایگزین شده است؛ آخرین ویرایش را روی iso.org چک کنید.</t>
  </si>
  <si>
    <t xml:space="preserve">NIST SP 800-61</t>
  </si>
  <si>
    <t xml:space="preserve">Rev. 2</t>
  </si>
  <si>
    <t xml:space="preserve">Rev. 3</t>
  </si>
  <si>
    <t xml:space="preserve">Rev.3 در 2025 منتشر شده است.</t>
  </si>
  <si>
    <t xml:space="preserve">NIST CSF</t>
  </si>
  <si>
    <t xml:space="preserve">در چک‌لیست نبود</t>
  </si>
  <si>
    <t xml:space="preserve">NIST CSF 2.0 (2024)</t>
  </si>
  <si>
    <t xml:space="preserve">تابع جدید Govern.</t>
  </si>
  <si>
    <t xml:space="preserve">ارزیابی تأثیر حریم خصوصی</t>
  </si>
  <si>
    <t xml:space="preserve">ISO/IEC 29100</t>
  </si>
  <si>
    <t xml:space="preserve">ISO/IEC 29134</t>
  </si>
  <si>
    <t xml:space="preserve">29100 چارچوب حریم خصوصی است، نه راهنمای PIA.</t>
  </si>
  <si>
    <t xml:space="preserve">تیم قرمز / مهندسی اجتماعی / موبایل</t>
  </si>
  <si>
    <t xml:space="preserve">ISO 27033-3 / ISO 27001 کلی</t>
  </si>
  <si>
    <t xml:space="preserve">کنترل مشخص Annex A یا NIST (مثلاً A 8.29, 6.3, 8.1)</t>
  </si>
  <si>
    <t xml:space="preserve">ارجاع کلی کافی نیست؛ بند/کنترل دقیق بنویسید.</t>
  </si>
  <si>
    <t xml:space="preserve">فهرست منابع رسمی برای تطبیق ارجاع‌ها (قبل از ارسال مقاله هر مورد باید با متن اصلی چک و تیک بخورد)</t>
  </si>
  <si>
    <t xml:space="preserve">منبع (به سبک مرجع‌نویسی)</t>
  </si>
  <si>
    <t xml:space="preserve">ناشر</t>
  </si>
  <si>
    <t xml:space="preserve">نشانی رسمی برای دریافت</t>
  </si>
  <si>
    <t xml:space="preserve">تطبیق شد؟ (بله/خیر)</t>
  </si>
  <si>
    <t xml:space="preserve">نکته</t>
  </si>
  <si>
    <t xml:space="preserve">AICPA. (2017). 2017 Trust Services Criteria for Security, Availability, Processing Integrity, Confidentiality, and Privacy (With Revised Points of Focus—2022). TSP Section 100.</t>
  </si>
  <si>
    <t xml:space="preserve">AICPA &amp; CIMA</t>
  </si>
  <si>
    <t xml:space="preserve">aicpa-cima.com</t>
  </si>
  <si>
    <t xml:space="preserve">معیارهای CC1 تا CC9، A1، C1، PI1، P1–P8</t>
  </si>
  <si>
    <t xml:space="preserve">AICPA. (2017). Description Criteria for Management's Description of an Entity's Cybersecurity Risk Management Program (DC Section 100).</t>
  </si>
  <si>
    <t xml:space="preserve">مبنای SOC for Cybersecurity؛ شماره DC200 را تطبیق دهید</t>
  </si>
  <si>
    <t xml:space="preserve">AICPA. SOC for Cybersecurity – Guide: Reporting on an Entity's Cybersecurity Risk Management Program and Controls.</t>
  </si>
  <si>
    <t xml:space="preserve">ویرایش و سال را از سایت ثبت کنید</t>
  </si>
  <si>
    <t xml:space="preserve">NIST. (2024). The NIST Cybersecurity Framework (CSF) 2.0 (NIST CSWP 29). https://doi.org/10.6028/NIST.CSWP.29</t>
  </si>
  <si>
    <t xml:space="preserve">NIST</t>
  </si>
  <si>
    <t xml:space="preserve">nist.gov / doi.org</t>
  </si>
  <si>
    <t xml:space="preserve">Functions: GV, ID, PR, DE, RS, RC</t>
  </si>
  <si>
    <t xml:space="preserve">NIST. (2012). Guide for Conducting Risk Assessments (SP 800-30 Rev. 1).</t>
  </si>
  <si>
    <t xml:space="preserve">csrc.nist.gov</t>
  </si>
  <si>
    <t xml:space="preserve">NIST. (2025). Incident Response Recommendations and Considerations for Cybersecurity Risk Management: A CSF 2.0 Community Profile (SP 800-61 Rev. 3).</t>
  </si>
  <si>
    <t xml:space="preserve">جایگزین Rev. 2؛ عنوان و تاریخ را تطبیق دهید</t>
  </si>
  <si>
    <t xml:space="preserve">NIST. (2006). Guide to Computer Security Log Management (SP 800-92).</t>
  </si>
  <si>
    <t xml:space="preserve">بررسی کنید ویرایش جدیدتر منتشر نشده باشد</t>
  </si>
  <si>
    <t xml:space="preserve">ISO/IEC. (2022). ISO/IEC 27001:2022 Information security, cybersecurity and privacy protection — Information security management systems — Requirements.</t>
  </si>
  <si>
    <t xml:space="preserve">ISO/IEC</t>
  </si>
  <si>
    <t xml:space="preserve">iso.org</t>
  </si>
  <si>
    <t xml:space="preserve">بندهای 4 تا 10 و Annex A</t>
  </si>
  <si>
    <t xml:space="preserve">ISO/IEC. (2022). ISO/IEC 27002:2022 Information security controls.</t>
  </si>
  <si>
    <t xml:space="preserve">93 کنترل در 4 گروه؛ شماره کنترل‌ها را از متن تطبیق دهید</t>
  </si>
  <si>
    <t xml:space="preserve">ISO/IEC. (2022). ISO/IEC 27005:2022 Guidance on managing information security risks.</t>
  </si>
  <si>
    <t xml:space="preserve">در ماتریس شماره بند آورده نشده؛ در صورت نیاز از متن اضافه شود</t>
  </si>
  <si>
    <t xml:space="preserve">ISO/IEC. ISO/IEC 27031 (Business continuity ICT readiness) – ویرایش جاری.</t>
  </si>
  <si>
    <t xml:space="preserve">سال آخرین ویرایش را تطبیق دهید</t>
  </si>
  <si>
    <t xml:space="preserve">ISO/IEC. ISO/IEC 27036-1 (Supplier relationships) – ویرایش جاری.</t>
  </si>
  <si>
    <t xml:space="preserve">ISO/IEC. ISO/IEC 29134 (Guidelines for privacy impact assessment) – ویرایش جاری.</t>
  </si>
  <si>
    <t xml:space="preserve">جایگزین ارجاع نادرست 29100</t>
  </si>
  <si>
    <t xml:space="preserve">ISO. (2018). ISO 31000:2018 Risk management — Guidelines. / IEC 31010:2019 Risk assessment techniques.</t>
  </si>
  <si>
    <t xml:space="preserve">ISO / IEC</t>
  </si>
  <si>
    <t xml:space="preserve">ISO/IEC. ISO/IEC 27034-1 Application security – Overview and concepts.</t>
  </si>
  <si>
    <t xml:space="preserve">سال/ویرایش را تطبیق دهید</t>
  </si>
  <si>
    <t xml:space="preserve">IAASB. International Standard on Auditing 315 (Revised 2019), Identifying and Assessing the Risks of Material Misstatement.</t>
  </si>
  <si>
    <t xml:space="preserve">IAASB / IFAC</t>
  </si>
  <si>
    <t xml:space="preserve">iaasb.org</t>
  </si>
  <si>
    <t xml:space="preserve">ارجاع به بندهای مربوط به درک محیط IT را از متن اضافه کنید</t>
  </si>
  <si>
    <t xml:space="preserve">IAASB. ISA 200, 230, 240, 250, 260, 265, 330, 402, 450, 500, 560, 570, 620 و ISQM 1.</t>
  </si>
  <si>
    <t xml:space="preserve">ویرایش‌های جاری (به‌ویژه 570 و 220) را چک کنید</t>
  </si>
  <si>
    <t xml:space="preserve">PCAOB. AS 2110 Identifying and Assessing Risks of Material Misstatement; AS 2201 An Audit of Internal Control Over Financial Reporting.</t>
  </si>
  <si>
    <t xml:space="preserve">PCAOB</t>
  </si>
  <si>
    <t xml:space="preserve">pcaobus.org</t>
  </si>
  <si>
    <t xml:space="preserve">فقط اگر دیدگاه آمریکایی لازم است</t>
  </si>
  <si>
    <t xml:space="preserve">استانداردهای حسابرسی ایران (ترجمه/تطبیق ISA) – ویرایش جاری</t>
  </si>
  <si>
    <t xml:space="preserve">سازمان حسابرسی</t>
  </si>
  <si>
    <t xml:space="preserve">مرجع رسمی سازمان حسابرسی</t>
  </si>
  <si>
    <t xml:space="preserve">شماره و نسخه ایرانی ISAها را از متن رسمی تطبیق دهید</t>
  </si>
  <si>
    <t xml:space="preserve">ابزار مقایسه اهمیت مولفه‌ها از دید دو گروه: سازمان مورد رسیدگی و حسابرسان</t>
  </si>
  <si>
    <t xml:space="preserve">آستانه شکاف قابل‌توجه (قدر مطلق تفاوت میانگین‌ها، مقیاس 1 تا 5):</t>
  </si>
  <si>
    <t xml:space="preserve">فرض پژوهشگر؛ قابل تغییر</t>
  </si>
  <si>
    <t xml:space="preserve">راهنما: ستون‌های زردرنگ را (میانگین امتیاز هر گروه) پر کنید. ردیف نمونه صرفاً الگوست و باید حذف شود.</t>
  </si>
  <si>
    <t xml:space="preserve">میانگین گروه سازمان</t>
  </si>
  <si>
    <t xml:space="preserve">میانگین گروه حسابرس</t>
  </si>
  <si>
    <t xml:space="preserve">شکاف</t>
  </si>
  <si>
    <t xml:space="preserve">تفسیر</t>
  </si>
  <si>
    <t xml:space="preserve">نمونه</t>
  </si>
  <si>
    <t xml:space="preserve">مثال: مولفه فرضی (حذف شود)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</si>
</sst>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;\-0.00;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  <c r="B3" s="2"/>
      <c r="C3" s="2"/>
    </row>
    <row r="4" customFormat="false" ht="21.75" hidden="false" customHeight="true" outlineLevel="0" collapsed="false">
      <c r="A4" s="2" t="s">
        <v>2</v>
      </c>
      <c r="B4" s="2"/>
      <c r="C4" s="2"/>
    </row>
    <row r="5" customFormat="false" ht="21.75" hidden="false" customHeight="true" outlineLevel="0" collapsed="false">
      <c r="A5" s="2" t="s">
        <v>3</v>
      </c>
      <c r="B5" s="2"/>
      <c r="C5" s="2"/>
    </row>
    <row r="6" customFormat="false" ht="21.75" hidden="false" customHeight="true" outlineLevel="0" collapsed="false">
      <c r="A6" s="2" t="s">
        <v>4</v>
      </c>
      <c r="B6" s="2"/>
      <c r="C6" s="2"/>
    </row>
    <row r="7" customFormat="false" ht="21.75" hidden="false" customHeight="true" outlineLevel="0" collapsed="false">
      <c r="A7" s="2" t="s">
        <v>5</v>
      </c>
      <c r="B7" s="2"/>
      <c r="C7" s="2"/>
    </row>
    <row r="9" customFormat="false" ht="15" hidden="false" customHeight="false" outlineLevel="0" collapsed="false">
      <c r="A9" s="3" t="s">
        <v>6</v>
      </c>
      <c r="B9" s="3" t="s">
        <v>7</v>
      </c>
      <c r="C9" s="3" t="s">
        <v>8</v>
      </c>
    </row>
    <row r="10" customFormat="false" ht="15" hidden="false" customHeight="false" outlineLevel="0" collapsed="false">
      <c r="A10" s="4" t="s">
        <v>9</v>
      </c>
      <c r="B10" s="5" t="n">
        <f aca="false">COUNTA(ماتریس!A5:A34)</f>
        <v>30</v>
      </c>
      <c r="C10" s="4"/>
    </row>
    <row r="11" customFormat="false" ht="15" hidden="false" customHeight="false" outlineLevel="0" collapsed="false">
      <c r="A11" s="4" t="s">
        <v>10</v>
      </c>
      <c r="B11" s="5" t="n">
        <f aca="false">COUNTIF(ماتریس!$E$5:$E$34,"سازمان")</f>
        <v>12</v>
      </c>
      <c r="C11" s="4"/>
    </row>
    <row r="12" customFormat="false" ht="15" hidden="false" customHeight="false" outlineLevel="0" collapsed="false">
      <c r="A12" s="4" t="s">
        <v>11</v>
      </c>
      <c r="B12" s="5" t="n">
        <f aca="false">COUNTIF(ماتریس!$E$5:$E$34,"حسابرس")</f>
        <v>9</v>
      </c>
      <c r="C12" s="4"/>
    </row>
    <row r="13" customFormat="false" ht="15" hidden="false" customHeight="false" outlineLevel="0" collapsed="false">
      <c r="A13" s="4" t="s">
        <v>12</v>
      </c>
      <c r="B13" s="5" t="n">
        <f aca="false">COUNTIF(ماتریس!$E$5:$E$34,"مشترک")</f>
        <v>9</v>
      </c>
      <c r="C13" s="4" t="s">
        <v>13</v>
      </c>
    </row>
    <row r="14" customFormat="false" ht="15" hidden="false" customHeight="false" outlineLevel="0" collapsed="false">
      <c r="A14" s="4" t="s">
        <v>14</v>
      </c>
      <c r="B14" s="6" t="n">
        <f aca="false">IFERROR(AVERAGEIF(ماتریس!$E$5:$E$34,"&lt;&gt;حسابرس",ماتریس!L5:L34),0)</f>
        <v>4.33333333333333</v>
      </c>
      <c r="C14" s="4" t="s">
        <v>15</v>
      </c>
    </row>
  </sheetData>
  <mergeCells count="5">
    <mergeCell ref="A3:C3"/>
    <mergeCell ref="A4:C4"/>
    <mergeCell ref="A5:C5"/>
    <mergeCell ref="A6:C6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7" min="6" style="0" width="30"/>
    <col collapsed="false" customWidth="true" hidden="false" outlineLevel="0" max="8" min="8" style="0" width="34"/>
    <col collapsed="false" customWidth="true" hidden="false" outlineLevel="0" max="9" min="9" style="0" width="30"/>
    <col collapsed="false" customWidth="true" hidden="false" outlineLevel="0" max="10" min="10" style="0" width="38"/>
    <col collapsed="false" customWidth="true" hidden="false" outlineLevel="0" max="11" min="11" style="0" width="28"/>
    <col collapsed="false" customWidth="true" hidden="false" outlineLevel="0" max="12" min="12" style="0" width="12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1" t="s">
        <v>16</v>
      </c>
    </row>
    <row r="2" customFormat="false" ht="30" hidden="false" customHeight="true" outlineLevel="0" collapsed="false">
      <c r="A2" s="7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customFormat="false" ht="48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</row>
    <row r="5" customFormat="false" ht="61.5" hidden="false" customHeight="true" outlineLevel="0" collapsed="false">
      <c r="A5" s="8" t="s">
        <v>31</v>
      </c>
      <c r="B5" s="4" t="s">
        <v>32</v>
      </c>
      <c r="C5" s="4" t="s">
        <v>33</v>
      </c>
      <c r="D5" s="4" t="s">
        <v>34</v>
      </c>
      <c r="E5" s="5" t="s">
        <v>35</v>
      </c>
      <c r="F5" s="4" t="s">
        <v>36</v>
      </c>
      <c r="G5" s="4" t="s">
        <v>37</v>
      </c>
      <c r="H5" s="4" t="s">
        <v>38</v>
      </c>
      <c r="I5" s="4"/>
      <c r="J5" s="4" t="s">
        <v>39</v>
      </c>
      <c r="K5" s="9"/>
      <c r="L5" s="5" t="n">
        <f aca="false">COUNTIF(F5:J5,"?*")</f>
        <v>4</v>
      </c>
      <c r="M5" s="10" t="s">
        <v>40</v>
      </c>
    </row>
    <row r="6" customFormat="false" ht="61.5" hidden="false" customHeight="true" outlineLevel="0" collapsed="false">
      <c r="A6" s="8" t="s">
        <v>41</v>
      </c>
      <c r="B6" s="4" t="s">
        <v>32</v>
      </c>
      <c r="C6" s="4" t="s">
        <v>42</v>
      </c>
      <c r="D6" s="4" t="s">
        <v>43</v>
      </c>
      <c r="E6" s="5" t="s">
        <v>35</v>
      </c>
      <c r="F6" s="4" t="s">
        <v>44</v>
      </c>
      <c r="G6" s="4" t="s">
        <v>45</v>
      </c>
      <c r="H6" s="4" t="s">
        <v>46</v>
      </c>
      <c r="I6" s="4"/>
      <c r="J6" s="4" t="s">
        <v>47</v>
      </c>
      <c r="K6" s="9"/>
      <c r="L6" s="5" t="n">
        <f aca="false">COUNTIF(F6:J6,"?*")</f>
        <v>4</v>
      </c>
      <c r="M6" s="10" t="s">
        <v>40</v>
      </c>
    </row>
    <row r="7" customFormat="false" ht="61.5" hidden="false" customHeight="true" outlineLevel="0" collapsed="false">
      <c r="A7" s="8" t="s">
        <v>48</v>
      </c>
      <c r="B7" s="4" t="s">
        <v>32</v>
      </c>
      <c r="C7" s="4" t="s">
        <v>49</v>
      </c>
      <c r="D7" s="4" t="s">
        <v>50</v>
      </c>
      <c r="E7" s="5" t="s">
        <v>51</v>
      </c>
      <c r="F7" s="4" t="s">
        <v>52</v>
      </c>
      <c r="G7" s="4" t="s">
        <v>53</v>
      </c>
      <c r="H7" s="4" t="s">
        <v>54</v>
      </c>
      <c r="I7" s="4" t="s">
        <v>55</v>
      </c>
      <c r="J7" s="4" t="s">
        <v>56</v>
      </c>
      <c r="K7" s="9"/>
      <c r="L7" s="5" t="n">
        <f aca="false">COUNTIF(F7:J7,"?*")</f>
        <v>5</v>
      </c>
      <c r="M7" s="10" t="s">
        <v>40</v>
      </c>
    </row>
    <row r="8" customFormat="false" ht="61.5" hidden="false" customHeight="true" outlineLevel="0" collapsed="false">
      <c r="A8" s="8" t="s">
        <v>57</v>
      </c>
      <c r="B8" s="4" t="s">
        <v>58</v>
      </c>
      <c r="C8" s="4" t="s">
        <v>59</v>
      </c>
      <c r="D8" s="4" t="s">
        <v>60</v>
      </c>
      <c r="E8" s="5" t="s">
        <v>51</v>
      </c>
      <c r="F8" s="4" t="s">
        <v>61</v>
      </c>
      <c r="G8" s="4" t="s">
        <v>62</v>
      </c>
      <c r="H8" s="4" t="s">
        <v>63</v>
      </c>
      <c r="I8" s="4" t="s">
        <v>64</v>
      </c>
      <c r="J8" s="4" t="s">
        <v>65</v>
      </c>
      <c r="K8" s="9"/>
      <c r="L8" s="5" t="n">
        <f aca="false">COUNTIF(F8:J8,"?*")</f>
        <v>5</v>
      </c>
      <c r="M8" s="10" t="s">
        <v>40</v>
      </c>
    </row>
    <row r="9" customFormat="false" ht="61.5" hidden="false" customHeight="true" outlineLevel="0" collapsed="false">
      <c r="A9" s="8" t="s">
        <v>66</v>
      </c>
      <c r="B9" s="4" t="s">
        <v>58</v>
      </c>
      <c r="C9" s="4" t="s">
        <v>67</v>
      </c>
      <c r="D9" s="4" t="s">
        <v>68</v>
      </c>
      <c r="E9" s="5" t="s">
        <v>35</v>
      </c>
      <c r="F9" s="4" t="s">
        <v>69</v>
      </c>
      <c r="G9" s="4" t="s">
        <v>70</v>
      </c>
      <c r="H9" s="4" t="s">
        <v>71</v>
      </c>
      <c r="I9" s="4" t="s">
        <v>72</v>
      </c>
      <c r="J9" s="4"/>
      <c r="K9" s="9"/>
      <c r="L9" s="5" t="n">
        <f aca="false">COUNTIF(F9:J9,"?*")</f>
        <v>4</v>
      </c>
      <c r="M9" s="10" t="s">
        <v>40</v>
      </c>
    </row>
    <row r="10" customFormat="false" ht="61.5" hidden="false" customHeight="true" outlineLevel="0" collapsed="false">
      <c r="A10" s="8" t="s">
        <v>73</v>
      </c>
      <c r="B10" s="4" t="s">
        <v>58</v>
      </c>
      <c r="C10" s="4" t="s">
        <v>74</v>
      </c>
      <c r="D10" s="4" t="s">
        <v>75</v>
      </c>
      <c r="E10" s="5" t="s">
        <v>35</v>
      </c>
      <c r="F10" s="4" t="s">
        <v>76</v>
      </c>
      <c r="G10" s="4" t="s">
        <v>77</v>
      </c>
      <c r="H10" s="4" t="s">
        <v>78</v>
      </c>
      <c r="I10" s="4" t="s">
        <v>79</v>
      </c>
      <c r="J10" s="4" t="s">
        <v>80</v>
      </c>
      <c r="K10" s="9"/>
      <c r="L10" s="5" t="n">
        <f aca="false">COUNTIF(F10:J10,"?*")</f>
        <v>5</v>
      </c>
      <c r="M10" s="10" t="s">
        <v>40</v>
      </c>
    </row>
    <row r="11" customFormat="false" ht="61.5" hidden="false" customHeight="true" outlineLevel="0" collapsed="false">
      <c r="A11" s="8" t="s">
        <v>81</v>
      </c>
      <c r="B11" s="4" t="s">
        <v>58</v>
      </c>
      <c r="C11" s="4" t="s">
        <v>82</v>
      </c>
      <c r="D11" s="4" t="s">
        <v>83</v>
      </c>
      <c r="E11" s="5" t="s">
        <v>51</v>
      </c>
      <c r="F11" s="4" t="s">
        <v>84</v>
      </c>
      <c r="G11" s="4" t="s">
        <v>85</v>
      </c>
      <c r="H11" s="4" t="s">
        <v>86</v>
      </c>
      <c r="I11" s="4" t="s">
        <v>87</v>
      </c>
      <c r="J11" s="4" t="s">
        <v>88</v>
      </c>
      <c r="K11" s="9"/>
      <c r="L11" s="5" t="n">
        <f aca="false">COUNTIF(F11:J11,"?*")</f>
        <v>5</v>
      </c>
      <c r="M11" s="10" t="s">
        <v>40</v>
      </c>
    </row>
    <row r="12" customFormat="false" ht="61.5" hidden="false" customHeight="true" outlineLevel="0" collapsed="false">
      <c r="A12" s="8" t="s">
        <v>89</v>
      </c>
      <c r="B12" s="4" t="s">
        <v>58</v>
      </c>
      <c r="C12" s="4" t="s">
        <v>90</v>
      </c>
      <c r="D12" s="4" t="s">
        <v>91</v>
      </c>
      <c r="E12" s="5" t="s">
        <v>51</v>
      </c>
      <c r="F12" s="4" t="s">
        <v>92</v>
      </c>
      <c r="G12" s="4" t="s">
        <v>93</v>
      </c>
      <c r="H12" s="4" t="s">
        <v>94</v>
      </c>
      <c r="I12" s="4" t="s">
        <v>95</v>
      </c>
      <c r="J12" s="4" t="s">
        <v>96</v>
      </c>
      <c r="K12" s="9"/>
      <c r="L12" s="5" t="n">
        <f aca="false">COUNTIF(F12:J12,"?*")</f>
        <v>5</v>
      </c>
      <c r="M12" s="10" t="s">
        <v>40</v>
      </c>
    </row>
    <row r="13" customFormat="false" ht="61.5" hidden="false" customHeight="true" outlineLevel="0" collapsed="false">
      <c r="A13" s="8" t="s">
        <v>97</v>
      </c>
      <c r="B13" s="4" t="s">
        <v>98</v>
      </c>
      <c r="C13" s="4" t="s">
        <v>99</v>
      </c>
      <c r="D13" s="4" t="s">
        <v>100</v>
      </c>
      <c r="E13" s="5" t="s">
        <v>35</v>
      </c>
      <c r="F13" s="4" t="s">
        <v>101</v>
      </c>
      <c r="G13" s="4" t="s">
        <v>102</v>
      </c>
      <c r="H13" s="4" t="s">
        <v>103</v>
      </c>
      <c r="I13" s="4" t="s">
        <v>104</v>
      </c>
      <c r="J13" s="4" t="s">
        <v>105</v>
      </c>
      <c r="K13" s="9"/>
      <c r="L13" s="5" t="n">
        <f aca="false">COUNTIF(F13:J13,"?*")</f>
        <v>5</v>
      </c>
      <c r="M13" s="10" t="s">
        <v>40</v>
      </c>
    </row>
    <row r="14" customFormat="false" ht="61.5" hidden="false" customHeight="true" outlineLevel="0" collapsed="false">
      <c r="A14" s="8" t="s">
        <v>106</v>
      </c>
      <c r="B14" s="4" t="s">
        <v>98</v>
      </c>
      <c r="C14" s="4" t="s">
        <v>107</v>
      </c>
      <c r="D14" s="4" t="s">
        <v>108</v>
      </c>
      <c r="E14" s="5" t="s">
        <v>35</v>
      </c>
      <c r="F14" s="4" t="s">
        <v>109</v>
      </c>
      <c r="G14" s="4" t="s">
        <v>110</v>
      </c>
      <c r="H14" s="4" t="s">
        <v>111</v>
      </c>
      <c r="I14" s="4"/>
      <c r="J14" s="4" t="s">
        <v>112</v>
      </c>
      <c r="K14" s="9"/>
      <c r="L14" s="5" t="n">
        <f aca="false">COUNTIF(F14:J14,"?*")</f>
        <v>4</v>
      </c>
      <c r="M14" s="10" t="s">
        <v>40</v>
      </c>
    </row>
    <row r="15" customFormat="false" ht="61.5" hidden="false" customHeight="true" outlineLevel="0" collapsed="false">
      <c r="A15" s="8" t="s">
        <v>113</v>
      </c>
      <c r="B15" s="4" t="s">
        <v>98</v>
      </c>
      <c r="C15" s="4" t="s">
        <v>114</v>
      </c>
      <c r="D15" s="4" t="s">
        <v>115</v>
      </c>
      <c r="E15" s="5" t="s">
        <v>35</v>
      </c>
      <c r="F15" s="4" t="s">
        <v>116</v>
      </c>
      <c r="G15" s="4" t="s">
        <v>117</v>
      </c>
      <c r="H15" s="4" t="s">
        <v>118</v>
      </c>
      <c r="I15" s="4"/>
      <c r="J15" s="4"/>
      <c r="K15" s="9"/>
      <c r="L15" s="5" t="n">
        <f aca="false">COUNTIF(F15:J15,"?*")</f>
        <v>3</v>
      </c>
      <c r="M15" s="10" t="s">
        <v>40</v>
      </c>
    </row>
    <row r="16" customFormat="false" ht="61.5" hidden="false" customHeight="true" outlineLevel="0" collapsed="false">
      <c r="A16" s="8" t="s">
        <v>119</v>
      </c>
      <c r="B16" s="4" t="s">
        <v>98</v>
      </c>
      <c r="C16" s="4" t="s">
        <v>120</v>
      </c>
      <c r="D16" s="4" t="s">
        <v>121</v>
      </c>
      <c r="E16" s="5" t="s">
        <v>35</v>
      </c>
      <c r="F16" s="4" t="s">
        <v>122</v>
      </c>
      <c r="G16" s="4" t="s">
        <v>123</v>
      </c>
      <c r="H16" s="4" t="s">
        <v>124</v>
      </c>
      <c r="I16" s="4" t="s">
        <v>125</v>
      </c>
      <c r="J16" s="4"/>
      <c r="K16" s="9"/>
      <c r="L16" s="5" t="n">
        <f aca="false">COUNTIF(F16:J16,"?*")</f>
        <v>4</v>
      </c>
      <c r="M16" s="10" t="s">
        <v>40</v>
      </c>
    </row>
    <row r="17" customFormat="false" ht="61.5" hidden="false" customHeight="true" outlineLevel="0" collapsed="false">
      <c r="A17" s="8" t="s">
        <v>126</v>
      </c>
      <c r="B17" s="4" t="s">
        <v>98</v>
      </c>
      <c r="C17" s="4" t="s">
        <v>127</v>
      </c>
      <c r="D17" s="4" t="s">
        <v>128</v>
      </c>
      <c r="E17" s="5" t="s">
        <v>35</v>
      </c>
      <c r="F17" s="4" t="s">
        <v>129</v>
      </c>
      <c r="G17" s="4" t="s">
        <v>130</v>
      </c>
      <c r="H17" s="4" t="s">
        <v>131</v>
      </c>
      <c r="I17" s="4" t="s">
        <v>132</v>
      </c>
      <c r="J17" s="4" t="s">
        <v>133</v>
      </c>
      <c r="K17" s="9"/>
      <c r="L17" s="5" t="n">
        <f aca="false">COUNTIF(F17:J17,"?*")</f>
        <v>5</v>
      </c>
      <c r="M17" s="10" t="s">
        <v>40</v>
      </c>
    </row>
    <row r="18" customFormat="false" ht="61.5" hidden="false" customHeight="true" outlineLevel="0" collapsed="false">
      <c r="A18" s="8" t="s">
        <v>134</v>
      </c>
      <c r="B18" s="4" t="s">
        <v>98</v>
      </c>
      <c r="C18" s="4" t="s">
        <v>135</v>
      </c>
      <c r="D18" s="4" t="s">
        <v>136</v>
      </c>
      <c r="E18" s="5" t="s">
        <v>35</v>
      </c>
      <c r="F18" s="4" t="s">
        <v>137</v>
      </c>
      <c r="G18" s="4" t="s">
        <v>138</v>
      </c>
      <c r="H18" s="4" t="s">
        <v>139</v>
      </c>
      <c r="I18" s="4"/>
      <c r="J18" s="4"/>
      <c r="K18" s="9"/>
      <c r="L18" s="5" t="n">
        <f aca="false">COUNTIF(F18:J18,"?*")</f>
        <v>3</v>
      </c>
      <c r="M18" s="10" t="s">
        <v>40</v>
      </c>
    </row>
    <row r="19" customFormat="false" ht="61.5" hidden="false" customHeight="true" outlineLevel="0" collapsed="false">
      <c r="A19" s="8" t="s">
        <v>140</v>
      </c>
      <c r="B19" s="4" t="s">
        <v>98</v>
      </c>
      <c r="C19" s="4" t="s">
        <v>141</v>
      </c>
      <c r="D19" s="4" t="s">
        <v>142</v>
      </c>
      <c r="E19" s="5" t="s">
        <v>51</v>
      </c>
      <c r="F19" s="4" t="s">
        <v>143</v>
      </c>
      <c r="G19" s="4" t="s">
        <v>144</v>
      </c>
      <c r="H19" s="4" t="s">
        <v>145</v>
      </c>
      <c r="I19" s="4" t="s">
        <v>146</v>
      </c>
      <c r="J19" s="4" t="s">
        <v>147</v>
      </c>
      <c r="K19" s="9"/>
      <c r="L19" s="5" t="n">
        <f aca="false">COUNTIF(F19:J19,"?*")</f>
        <v>5</v>
      </c>
      <c r="M19" s="10" t="s">
        <v>40</v>
      </c>
    </row>
    <row r="20" customFormat="false" ht="61.5" hidden="false" customHeight="true" outlineLevel="0" collapsed="false">
      <c r="A20" s="8" t="s">
        <v>148</v>
      </c>
      <c r="B20" s="4" t="s">
        <v>149</v>
      </c>
      <c r="C20" s="4" t="s">
        <v>150</v>
      </c>
      <c r="D20" s="4" t="s">
        <v>151</v>
      </c>
      <c r="E20" s="5" t="s">
        <v>51</v>
      </c>
      <c r="F20" s="4" t="s">
        <v>152</v>
      </c>
      <c r="G20" s="4" t="s">
        <v>153</v>
      </c>
      <c r="H20" s="4" t="s">
        <v>154</v>
      </c>
      <c r="I20" s="4"/>
      <c r="J20" s="4" t="s">
        <v>155</v>
      </c>
      <c r="K20" s="9"/>
      <c r="L20" s="5" t="n">
        <f aca="false">COUNTIF(F20:J20,"?*")</f>
        <v>4</v>
      </c>
      <c r="M20" s="10" t="s">
        <v>40</v>
      </c>
    </row>
    <row r="21" customFormat="false" ht="61.5" hidden="false" customHeight="true" outlineLevel="0" collapsed="false">
      <c r="A21" s="8" t="s">
        <v>156</v>
      </c>
      <c r="B21" s="4" t="s">
        <v>149</v>
      </c>
      <c r="C21" s="4" t="s">
        <v>157</v>
      </c>
      <c r="D21" s="4" t="s">
        <v>158</v>
      </c>
      <c r="E21" s="5" t="s">
        <v>35</v>
      </c>
      <c r="F21" s="4" t="s">
        <v>159</v>
      </c>
      <c r="G21" s="4" t="s">
        <v>160</v>
      </c>
      <c r="H21" s="4" t="s">
        <v>161</v>
      </c>
      <c r="I21" s="4"/>
      <c r="J21" s="4"/>
      <c r="K21" s="9"/>
      <c r="L21" s="5" t="n">
        <f aca="false">COUNTIF(F21:J21,"?*")</f>
        <v>3</v>
      </c>
      <c r="M21" s="10" t="s">
        <v>40</v>
      </c>
    </row>
    <row r="22" customFormat="false" ht="61.5" hidden="false" customHeight="true" outlineLevel="0" collapsed="false">
      <c r="A22" s="8" t="s">
        <v>162</v>
      </c>
      <c r="B22" s="4" t="s">
        <v>149</v>
      </c>
      <c r="C22" s="4" t="s">
        <v>163</v>
      </c>
      <c r="D22" s="4" t="s">
        <v>164</v>
      </c>
      <c r="E22" s="5" t="s">
        <v>51</v>
      </c>
      <c r="F22" s="4" t="s">
        <v>165</v>
      </c>
      <c r="G22" s="4" t="s">
        <v>166</v>
      </c>
      <c r="H22" s="4" t="s">
        <v>167</v>
      </c>
      <c r="I22" s="4" t="s">
        <v>168</v>
      </c>
      <c r="J22" s="4" t="s">
        <v>169</v>
      </c>
      <c r="K22" s="9"/>
      <c r="L22" s="5" t="n">
        <f aca="false">COUNTIF(F22:J22,"?*")</f>
        <v>5</v>
      </c>
      <c r="M22" s="10" t="s">
        <v>40</v>
      </c>
    </row>
    <row r="23" customFormat="false" ht="61.5" hidden="false" customHeight="true" outlineLevel="0" collapsed="false">
      <c r="A23" s="8" t="s">
        <v>170</v>
      </c>
      <c r="B23" s="4" t="s">
        <v>171</v>
      </c>
      <c r="C23" s="4" t="s">
        <v>172</v>
      </c>
      <c r="D23" s="4" t="s">
        <v>173</v>
      </c>
      <c r="E23" s="5" t="s">
        <v>51</v>
      </c>
      <c r="F23" s="4" t="s">
        <v>174</v>
      </c>
      <c r="G23" s="4" t="s">
        <v>53</v>
      </c>
      <c r="H23" s="4" t="s">
        <v>175</v>
      </c>
      <c r="I23" s="4" t="s">
        <v>176</v>
      </c>
      <c r="J23" s="4" t="s">
        <v>177</v>
      </c>
      <c r="K23" s="9"/>
      <c r="L23" s="5" t="n">
        <f aca="false">COUNTIF(F23:J23,"?*")</f>
        <v>5</v>
      </c>
      <c r="M23" s="10" t="s">
        <v>40</v>
      </c>
    </row>
    <row r="24" customFormat="false" ht="61.5" hidden="false" customHeight="true" outlineLevel="0" collapsed="false">
      <c r="A24" s="8" t="s">
        <v>178</v>
      </c>
      <c r="B24" s="4" t="s">
        <v>171</v>
      </c>
      <c r="C24" s="4" t="s">
        <v>179</v>
      </c>
      <c r="D24" s="4" t="s">
        <v>180</v>
      </c>
      <c r="E24" s="5" t="s">
        <v>35</v>
      </c>
      <c r="F24" s="4" t="s">
        <v>181</v>
      </c>
      <c r="G24" s="4" t="s">
        <v>182</v>
      </c>
      <c r="H24" s="4" t="s">
        <v>183</v>
      </c>
      <c r="I24" s="4" t="s">
        <v>95</v>
      </c>
      <c r="J24" s="4"/>
      <c r="K24" s="9"/>
      <c r="L24" s="5" t="n">
        <f aca="false">COUNTIF(F24:J24,"?*")</f>
        <v>4</v>
      </c>
      <c r="M24" s="10" t="s">
        <v>40</v>
      </c>
    </row>
    <row r="25" customFormat="false" ht="61.5" hidden="false" customHeight="true" outlineLevel="0" collapsed="false">
      <c r="A25" s="8" t="s">
        <v>184</v>
      </c>
      <c r="B25" s="4" t="s">
        <v>171</v>
      </c>
      <c r="C25" s="4" t="s">
        <v>185</v>
      </c>
      <c r="D25" s="4" t="s">
        <v>186</v>
      </c>
      <c r="E25" s="5" t="s">
        <v>51</v>
      </c>
      <c r="F25" s="4" t="s">
        <v>187</v>
      </c>
      <c r="G25" s="4" t="s">
        <v>188</v>
      </c>
      <c r="H25" s="4" t="s">
        <v>189</v>
      </c>
      <c r="I25" s="4"/>
      <c r="J25" s="4" t="s">
        <v>190</v>
      </c>
      <c r="K25" s="9"/>
      <c r="L25" s="5" t="n">
        <f aca="false">COUNTIF(F25:J25,"?*")</f>
        <v>4</v>
      </c>
      <c r="M25" s="10" t="s">
        <v>40</v>
      </c>
    </row>
    <row r="26" customFormat="false" ht="61.5" hidden="false" customHeight="true" outlineLevel="0" collapsed="false">
      <c r="A26" s="8" t="s">
        <v>191</v>
      </c>
      <c r="B26" s="4" t="s">
        <v>192</v>
      </c>
      <c r="C26" s="4" t="s">
        <v>193</v>
      </c>
      <c r="D26" s="4" t="s">
        <v>194</v>
      </c>
      <c r="E26" s="5" t="s">
        <v>195</v>
      </c>
      <c r="F26" s="4"/>
      <c r="G26" s="4"/>
      <c r="H26" s="4"/>
      <c r="I26" s="4"/>
      <c r="J26" s="4" t="s">
        <v>196</v>
      </c>
      <c r="K26" s="9"/>
      <c r="L26" s="5" t="n">
        <f aca="false">COUNTIF(F26:J26,"?*")</f>
        <v>1</v>
      </c>
      <c r="M26" s="10" t="s">
        <v>40</v>
      </c>
    </row>
    <row r="27" customFormat="false" ht="61.5" hidden="false" customHeight="true" outlineLevel="0" collapsed="false">
      <c r="A27" s="8" t="s">
        <v>197</v>
      </c>
      <c r="B27" s="4" t="s">
        <v>192</v>
      </c>
      <c r="C27" s="4" t="s">
        <v>198</v>
      </c>
      <c r="D27" s="4" t="s">
        <v>199</v>
      </c>
      <c r="E27" s="5" t="s">
        <v>195</v>
      </c>
      <c r="F27" s="4"/>
      <c r="G27" s="4"/>
      <c r="H27" s="4"/>
      <c r="I27" s="4"/>
      <c r="J27" s="4" t="s">
        <v>200</v>
      </c>
      <c r="K27" s="9"/>
      <c r="L27" s="5" t="n">
        <f aca="false">COUNTIF(F27:J27,"?*")</f>
        <v>1</v>
      </c>
      <c r="M27" s="10" t="s">
        <v>40</v>
      </c>
    </row>
    <row r="28" customFormat="false" ht="61.5" hidden="false" customHeight="true" outlineLevel="0" collapsed="false">
      <c r="A28" s="8" t="s">
        <v>201</v>
      </c>
      <c r="B28" s="4" t="s">
        <v>192</v>
      </c>
      <c r="C28" s="4" t="s">
        <v>202</v>
      </c>
      <c r="D28" s="4" t="s">
        <v>203</v>
      </c>
      <c r="E28" s="5" t="s">
        <v>195</v>
      </c>
      <c r="F28" s="4"/>
      <c r="G28" s="4"/>
      <c r="H28" s="4"/>
      <c r="I28" s="4"/>
      <c r="J28" s="4" t="s">
        <v>204</v>
      </c>
      <c r="K28" s="9"/>
      <c r="L28" s="5" t="n">
        <f aca="false">COUNTIF(F28:J28,"?*")</f>
        <v>1</v>
      </c>
      <c r="M28" s="10" t="s">
        <v>40</v>
      </c>
    </row>
    <row r="29" customFormat="false" ht="61.5" hidden="false" customHeight="true" outlineLevel="0" collapsed="false">
      <c r="A29" s="8" t="s">
        <v>205</v>
      </c>
      <c r="B29" s="4" t="s">
        <v>192</v>
      </c>
      <c r="C29" s="4" t="s">
        <v>206</v>
      </c>
      <c r="D29" s="4" t="s">
        <v>207</v>
      </c>
      <c r="E29" s="5" t="s">
        <v>195</v>
      </c>
      <c r="F29" s="4"/>
      <c r="G29" s="4"/>
      <c r="H29" s="4"/>
      <c r="I29" s="4"/>
      <c r="J29" s="4" t="s">
        <v>208</v>
      </c>
      <c r="K29" s="9"/>
      <c r="L29" s="5" t="n">
        <f aca="false">COUNTIF(F29:J29,"?*")</f>
        <v>1</v>
      </c>
      <c r="M29" s="10" t="s">
        <v>40</v>
      </c>
    </row>
    <row r="30" customFormat="false" ht="61.5" hidden="false" customHeight="true" outlineLevel="0" collapsed="false">
      <c r="A30" s="8" t="s">
        <v>209</v>
      </c>
      <c r="B30" s="4" t="s">
        <v>210</v>
      </c>
      <c r="C30" s="4" t="s">
        <v>211</v>
      </c>
      <c r="D30" s="4" t="s">
        <v>212</v>
      </c>
      <c r="E30" s="5" t="s">
        <v>195</v>
      </c>
      <c r="F30" s="4" t="s">
        <v>213</v>
      </c>
      <c r="G30" s="4"/>
      <c r="H30" s="4"/>
      <c r="I30" s="4"/>
      <c r="J30" s="4" t="s">
        <v>214</v>
      </c>
      <c r="K30" s="9"/>
      <c r="L30" s="5" t="n">
        <f aca="false">COUNTIF(F30:J30,"?*")</f>
        <v>2</v>
      </c>
      <c r="M30" s="10" t="s">
        <v>40</v>
      </c>
    </row>
    <row r="31" customFormat="false" ht="61.5" hidden="false" customHeight="true" outlineLevel="0" collapsed="false">
      <c r="A31" s="8" t="s">
        <v>215</v>
      </c>
      <c r="B31" s="4" t="s">
        <v>210</v>
      </c>
      <c r="C31" s="4" t="s">
        <v>216</v>
      </c>
      <c r="D31" s="4" t="s">
        <v>217</v>
      </c>
      <c r="E31" s="5" t="s">
        <v>195</v>
      </c>
      <c r="F31" s="4"/>
      <c r="G31" s="4"/>
      <c r="H31" s="4"/>
      <c r="I31" s="4"/>
      <c r="J31" s="4" t="s">
        <v>218</v>
      </c>
      <c r="K31" s="9"/>
      <c r="L31" s="5" t="n">
        <f aca="false">COUNTIF(F31:J31,"?*")</f>
        <v>1</v>
      </c>
      <c r="M31" s="10" t="s">
        <v>40</v>
      </c>
    </row>
    <row r="32" customFormat="false" ht="61.5" hidden="false" customHeight="true" outlineLevel="0" collapsed="false">
      <c r="A32" s="8" t="s">
        <v>219</v>
      </c>
      <c r="B32" s="4" t="s">
        <v>210</v>
      </c>
      <c r="C32" s="4" t="s">
        <v>220</v>
      </c>
      <c r="D32" s="4" t="s">
        <v>221</v>
      </c>
      <c r="E32" s="5" t="s">
        <v>195</v>
      </c>
      <c r="F32" s="4"/>
      <c r="G32" s="4"/>
      <c r="H32" s="4"/>
      <c r="I32" s="4"/>
      <c r="J32" s="4" t="s">
        <v>222</v>
      </c>
      <c r="K32" s="9"/>
      <c r="L32" s="5" t="n">
        <f aca="false">COUNTIF(F32:J32,"?*")</f>
        <v>1</v>
      </c>
      <c r="M32" s="10" t="s">
        <v>40</v>
      </c>
    </row>
    <row r="33" customFormat="false" ht="61.5" hidden="false" customHeight="true" outlineLevel="0" collapsed="false">
      <c r="A33" s="8" t="s">
        <v>223</v>
      </c>
      <c r="B33" s="4" t="s">
        <v>210</v>
      </c>
      <c r="C33" s="4" t="s">
        <v>224</v>
      </c>
      <c r="D33" s="4" t="s">
        <v>225</v>
      </c>
      <c r="E33" s="5" t="s">
        <v>195</v>
      </c>
      <c r="F33" s="4"/>
      <c r="G33" s="4"/>
      <c r="H33" s="4"/>
      <c r="I33" s="4"/>
      <c r="J33" s="4" t="s">
        <v>226</v>
      </c>
      <c r="K33" s="9"/>
      <c r="L33" s="5" t="n">
        <f aca="false">COUNTIF(F33:J33,"?*")</f>
        <v>1</v>
      </c>
      <c r="M33" s="10" t="s">
        <v>40</v>
      </c>
    </row>
    <row r="34" customFormat="false" ht="61.5" hidden="false" customHeight="true" outlineLevel="0" collapsed="false">
      <c r="A34" s="8" t="s">
        <v>227</v>
      </c>
      <c r="B34" s="4" t="s">
        <v>210</v>
      </c>
      <c r="C34" s="4" t="s">
        <v>228</v>
      </c>
      <c r="D34" s="4" t="s">
        <v>229</v>
      </c>
      <c r="E34" s="5" t="s">
        <v>195</v>
      </c>
      <c r="F34" s="4"/>
      <c r="G34" s="4"/>
      <c r="H34" s="4"/>
      <c r="I34" s="4"/>
      <c r="J34" s="4" t="s">
        <v>230</v>
      </c>
      <c r="K34" s="9"/>
      <c r="L34" s="5" t="n">
        <f aca="false">COUNTIF(F34:J34,"?*")</f>
        <v>1</v>
      </c>
      <c r="M34" s="10" t="s">
        <v>40</v>
      </c>
    </row>
  </sheetData>
  <autoFilter ref="A4:M34"/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0"/>
    <col collapsed="false" customWidth="true" hidden="false" outlineLevel="0" max="4" min="4" style="0" width="42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1" t="s">
        <v>231</v>
      </c>
    </row>
    <row r="3" customFormat="false" ht="15" hidden="false" customHeight="false" outlineLevel="0" collapsed="false">
      <c r="A3" s="3" t="s">
        <v>232</v>
      </c>
      <c r="B3" s="3" t="s">
        <v>233</v>
      </c>
      <c r="C3" s="3" t="s">
        <v>234</v>
      </c>
      <c r="D3" s="3" t="s">
        <v>235</v>
      </c>
      <c r="E3" s="3" t="s">
        <v>8</v>
      </c>
    </row>
    <row r="4" customFormat="false" ht="36" hidden="false" customHeight="true" outlineLevel="0" collapsed="false">
      <c r="A4" s="4" t="n">
        <v>1</v>
      </c>
      <c r="B4" s="4" t="s">
        <v>236</v>
      </c>
      <c r="C4" s="4" t="s">
        <v>237</v>
      </c>
      <c r="D4" s="4" t="s">
        <v>238</v>
      </c>
      <c r="E4" s="4" t="s">
        <v>239</v>
      </c>
    </row>
    <row r="5" customFormat="false" ht="36" hidden="false" customHeight="true" outlineLevel="0" collapsed="false">
      <c r="A5" s="4" t="n">
        <v>2</v>
      </c>
      <c r="B5" s="4" t="s">
        <v>240</v>
      </c>
      <c r="C5" s="4" t="s">
        <v>241</v>
      </c>
      <c r="D5" s="4" t="s">
        <v>61</v>
      </c>
      <c r="E5" s="4" t="s">
        <v>242</v>
      </c>
    </row>
    <row r="6" customFormat="false" ht="36" hidden="false" customHeight="true" outlineLevel="0" collapsed="false">
      <c r="A6" s="4" t="n">
        <v>3</v>
      </c>
      <c r="B6" s="4" t="s">
        <v>243</v>
      </c>
      <c r="C6" s="4" t="s">
        <v>244</v>
      </c>
      <c r="D6" s="4" t="s">
        <v>245</v>
      </c>
      <c r="E6" s="4" t="s">
        <v>246</v>
      </c>
    </row>
    <row r="7" customFormat="false" ht="36" hidden="false" customHeight="true" outlineLevel="0" collapsed="false">
      <c r="A7" s="4" t="n">
        <v>4</v>
      </c>
      <c r="B7" s="4" t="s">
        <v>247</v>
      </c>
      <c r="C7" s="4" t="s">
        <v>244</v>
      </c>
      <c r="D7" s="4" t="s">
        <v>76</v>
      </c>
      <c r="E7" s="4" t="s">
        <v>248</v>
      </c>
    </row>
    <row r="8" customFormat="false" ht="36" hidden="false" customHeight="true" outlineLevel="0" collapsed="false">
      <c r="A8" s="4" t="n">
        <v>5</v>
      </c>
      <c r="B8" s="4" t="s">
        <v>249</v>
      </c>
      <c r="C8" s="4" t="s">
        <v>250</v>
      </c>
      <c r="D8" s="4" t="s">
        <v>251</v>
      </c>
      <c r="E8" s="4" t="s">
        <v>252</v>
      </c>
    </row>
    <row r="9" customFormat="false" ht="36" hidden="false" customHeight="true" outlineLevel="0" collapsed="false">
      <c r="A9" s="4" t="n">
        <v>6</v>
      </c>
      <c r="B9" s="4" t="s">
        <v>253</v>
      </c>
      <c r="C9" s="4" t="s">
        <v>254</v>
      </c>
      <c r="D9" s="4" t="s">
        <v>255</v>
      </c>
      <c r="E9" s="4" t="s">
        <v>256</v>
      </c>
    </row>
    <row r="10" customFormat="false" ht="36" hidden="false" customHeight="true" outlineLevel="0" collapsed="false">
      <c r="A10" s="4" t="n">
        <v>7</v>
      </c>
      <c r="B10" s="4" t="s">
        <v>257</v>
      </c>
      <c r="C10" s="4" t="s">
        <v>258</v>
      </c>
      <c r="D10" s="4" t="s">
        <v>259</v>
      </c>
      <c r="E10" s="4" t="s">
        <v>260</v>
      </c>
    </row>
    <row r="11" customFormat="false" ht="36" hidden="false" customHeight="true" outlineLevel="0" collapsed="false">
      <c r="A11" s="4" t="n">
        <v>8</v>
      </c>
      <c r="B11" s="4" t="s">
        <v>261</v>
      </c>
      <c r="C11" s="4" t="s">
        <v>262</v>
      </c>
      <c r="D11" s="4" t="s">
        <v>263</v>
      </c>
      <c r="E11" s="4" t="s">
        <v>246</v>
      </c>
    </row>
    <row r="12" customFormat="false" ht="36" hidden="false" customHeight="true" outlineLevel="0" collapsed="false">
      <c r="A12" s="4" t="n">
        <v>9</v>
      </c>
      <c r="B12" s="4" t="s">
        <v>264</v>
      </c>
      <c r="C12" s="4" t="s">
        <v>265</v>
      </c>
      <c r="D12" s="4" t="s">
        <v>137</v>
      </c>
      <c r="E12" s="4" t="s">
        <v>266</v>
      </c>
    </row>
    <row r="13" customFormat="false" ht="36" hidden="false" customHeight="true" outlineLevel="0" collapsed="false">
      <c r="A13" s="4" t="n">
        <v>10</v>
      </c>
      <c r="B13" s="4" t="s">
        <v>267</v>
      </c>
      <c r="C13" s="4" t="s">
        <v>268</v>
      </c>
      <c r="D13" s="4" t="s">
        <v>269</v>
      </c>
      <c r="E13" s="4" t="s">
        <v>246</v>
      </c>
    </row>
    <row r="14" customFormat="false" ht="36" hidden="false" customHeight="true" outlineLevel="0" collapsed="false">
      <c r="A14" s="4" t="n">
        <v>11</v>
      </c>
      <c r="B14" s="4" t="s">
        <v>270</v>
      </c>
      <c r="C14" s="4" t="s">
        <v>271</v>
      </c>
      <c r="D14" s="4" t="s">
        <v>152</v>
      </c>
      <c r="E14" s="4" t="s">
        <v>272</v>
      </c>
    </row>
    <row r="15" customFormat="false" ht="36" hidden="false" customHeight="true" outlineLevel="0" collapsed="false">
      <c r="A15" s="4" t="n">
        <v>12</v>
      </c>
      <c r="B15" s="4" t="s">
        <v>273</v>
      </c>
      <c r="C15" s="4" t="s">
        <v>274</v>
      </c>
      <c r="D15" s="4" t="s">
        <v>165</v>
      </c>
      <c r="E15" s="4" t="s">
        <v>275</v>
      </c>
    </row>
    <row r="16" customFormat="false" ht="36" hidden="false" customHeight="true" outlineLevel="0" collapsed="false">
      <c r="A16" s="4" t="n">
        <v>13</v>
      </c>
      <c r="B16" s="4" t="s">
        <v>276</v>
      </c>
      <c r="C16" s="4" t="s">
        <v>277</v>
      </c>
      <c r="D16" s="4" t="s">
        <v>278</v>
      </c>
      <c r="E16" s="4" t="s">
        <v>279</v>
      </c>
    </row>
    <row r="17" customFormat="false" ht="36" hidden="false" customHeight="true" outlineLevel="0" collapsed="false">
      <c r="A17" s="4" t="n">
        <v>14</v>
      </c>
      <c r="B17" s="4" t="s">
        <v>280</v>
      </c>
      <c r="C17" s="4" t="s">
        <v>277</v>
      </c>
      <c r="D17" s="4" t="s">
        <v>281</v>
      </c>
      <c r="E17" s="4" t="s">
        <v>282</v>
      </c>
    </row>
    <row r="18" customFormat="false" ht="36" hidden="false" customHeight="true" outlineLevel="0" collapsed="false">
      <c r="A18" s="4" t="n">
        <v>15</v>
      </c>
      <c r="B18" s="4" t="s">
        <v>283</v>
      </c>
      <c r="C18" s="4" t="s">
        <v>284</v>
      </c>
      <c r="D18" s="4" t="s">
        <v>285</v>
      </c>
      <c r="E18" s="4" t="s">
        <v>286</v>
      </c>
    </row>
    <row r="19" customFormat="false" ht="36" hidden="false" customHeight="true" outlineLevel="0" collapsed="false">
      <c r="A19" s="4" t="n">
        <v>16</v>
      </c>
      <c r="B19" s="4" t="s">
        <v>287</v>
      </c>
      <c r="C19" s="4" t="s">
        <v>288</v>
      </c>
      <c r="D19" s="4" t="s">
        <v>289</v>
      </c>
      <c r="E19" s="4" t="s">
        <v>290</v>
      </c>
    </row>
    <row r="20" customFormat="false" ht="36" hidden="false" customHeight="true" outlineLevel="0" collapsed="false">
      <c r="A20" s="4" t="n">
        <v>17</v>
      </c>
      <c r="B20" s="4" t="s">
        <v>291</v>
      </c>
      <c r="C20" s="4" t="s">
        <v>292</v>
      </c>
      <c r="D20" s="4" t="s">
        <v>293</v>
      </c>
      <c r="E20" s="4" t="s">
        <v>294</v>
      </c>
    </row>
    <row r="21" customFormat="false" ht="36" hidden="false" customHeight="true" outlineLevel="0" collapsed="false">
      <c r="A21" s="4" t="n">
        <v>18</v>
      </c>
      <c r="B21" s="4" t="s">
        <v>295</v>
      </c>
      <c r="C21" s="4" t="s">
        <v>296</v>
      </c>
      <c r="D21" s="4" t="s">
        <v>297</v>
      </c>
      <c r="E21" s="4" t="s">
        <v>298</v>
      </c>
    </row>
    <row r="22" customFormat="false" ht="36" hidden="false" customHeight="true" outlineLevel="0" collapsed="false">
      <c r="A22" s="4" t="n">
        <v>19</v>
      </c>
      <c r="B22" s="4" t="s">
        <v>299</v>
      </c>
      <c r="C22" s="4" t="s">
        <v>300</v>
      </c>
      <c r="D22" s="4" t="s">
        <v>301</v>
      </c>
      <c r="E22" s="4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11" t="s">
        <v>303</v>
      </c>
    </row>
    <row r="3" customFormat="false" ht="26.85" hidden="false" customHeight="false" outlineLevel="0" collapsed="false">
      <c r="A3" s="3" t="s">
        <v>232</v>
      </c>
      <c r="B3" s="3" t="s">
        <v>304</v>
      </c>
      <c r="C3" s="3" t="s">
        <v>305</v>
      </c>
      <c r="D3" s="3" t="s">
        <v>306</v>
      </c>
      <c r="E3" s="3" t="s">
        <v>307</v>
      </c>
      <c r="F3" s="3" t="s">
        <v>308</v>
      </c>
    </row>
    <row r="4" customFormat="false" ht="48" hidden="false" customHeight="true" outlineLevel="0" collapsed="false">
      <c r="A4" s="4" t="n">
        <v>1</v>
      </c>
      <c r="B4" s="4" t="s">
        <v>309</v>
      </c>
      <c r="C4" s="4" t="s">
        <v>310</v>
      </c>
      <c r="D4" s="4" t="s">
        <v>311</v>
      </c>
      <c r="E4" s="9"/>
      <c r="F4" s="4" t="s">
        <v>312</v>
      </c>
    </row>
    <row r="5" customFormat="false" ht="48" hidden="false" customHeight="true" outlineLevel="0" collapsed="false">
      <c r="A5" s="4" t="n">
        <v>2</v>
      </c>
      <c r="B5" s="4" t="s">
        <v>313</v>
      </c>
      <c r="C5" s="4" t="s">
        <v>310</v>
      </c>
      <c r="D5" s="4" t="s">
        <v>311</v>
      </c>
      <c r="E5" s="9"/>
      <c r="F5" s="4" t="s">
        <v>314</v>
      </c>
    </row>
    <row r="6" customFormat="false" ht="48" hidden="false" customHeight="true" outlineLevel="0" collapsed="false">
      <c r="A6" s="4" t="n">
        <v>3</v>
      </c>
      <c r="B6" s="4" t="s">
        <v>315</v>
      </c>
      <c r="C6" s="4" t="s">
        <v>310</v>
      </c>
      <c r="D6" s="4" t="s">
        <v>311</v>
      </c>
      <c r="E6" s="9"/>
      <c r="F6" s="4" t="s">
        <v>316</v>
      </c>
    </row>
    <row r="7" customFormat="false" ht="48" hidden="false" customHeight="true" outlineLevel="0" collapsed="false">
      <c r="A7" s="4" t="n">
        <v>4</v>
      </c>
      <c r="B7" s="4" t="s">
        <v>317</v>
      </c>
      <c r="C7" s="4" t="s">
        <v>318</v>
      </c>
      <c r="D7" s="4" t="s">
        <v>319</v>
      </c>
      <c r="E7" s="9"/>
      <c r="F7" s="4" t="s">
        <v>320</v>
      </c>
    </row>
    <row r="8" customFormat="false" ht="48" hidden="false" customHeight="true" outlineLevel="0" collapsed="false">
      <c r="A8" s="4" t="n">
        <v>5</v>
      </c>
      <c r="B8" s="4" t="s">
        <v>321</v>
      </c>
      <c r="C8" s="4" t="s">
        <v>318</v>
      </c>
      <c r="D8" s="4" t="s">
        <v>322</v>
      </c>
      <c r="E8" s="9"/>
      <c r="F8" s="4"/>
    </row>
    <row r="9" customFormat="false" ht="48" hidden="false" customHeight="true" outlineLevel="0" collapsed="false">
      <c r="A9" s="4" t="n">
        <v>6</v>
      </c>
      <c r="B9" s="4" t="s">
        <v>323</v>
      </c>
      <c r="C9" s="4" t="s">
        <v>318</v>
      </c>
      <c r="D9" s="4" t="s">
        <v>322</v>
      </c>
      <c r="E9" s="9"/>
      <c r="F9" s="4" t="s">
        <v>324</v>
      </c>
    </row>
    <row r="10" customFormat="false" ht="48" hidden="false" customHeight="true" outlineLevel="0" collapsed="false">
      <c r="A10" s="4" t="n">
        <v>7</v>
      </c>
      <c r="B10" s="4" t="s">
        <v>325</v>
      </c>
      <c r="C10" s="4" t="s">
        <v>318</v>
      </c>
      <c r="D10" s="4" t="s">
        <v>322</v>
      </c>
      <c r="E10" s="9"/>
      <c r="F10" s="4" t="s">
        <v>326</v>
      </c>
    </row>
    <row r="11" customFormat="false" ht="48" hidden="false" customHeight="true" outlineLevel="0" collapsed="false">
      <c r="A11" s="4" t="n">
        <v>8</v>
      </c>
      <c r="B11" s="4" t="s">
        <v>327</v>
      </c>
      <c r="C11" s="4" t="s">
        <v>328</v>
      </c>
      <c r="D11" s="4" t="s">
        <v>329</v>
      </c>
      <c r="E11" s="9"/>
      <c r="F11" s="4" t="s">
        <v>330</v>
      </c>
    </row>
    <row r="12" customFormat="false" ht="48" hidden="false" customHeight="true" outlineLevel="0" collapsed="false">
      <c r="A12" s="4" t="n">
        <v>9</v>
      </c>
      <c r="B12" s="4" t="s">
        <v>331</v>
      </c>
      <c r="C12" s="4" t="s">
        <v>328</v>
      </c>
      <c r="D12" s="4" t="s">
        <v>329</v>
      </c>
      <c r="E12" s="9"/>
      <c r="F12" s="4" t="s">
        <v>332</v>
      </c>
    </row>
    <row r="13" customFormat="false" ht="48" hidden="false" customHeight="true" outlineLevel="0" collapsed="false">
      <c r="A13" s="4" t="n">
        <v>10</v>
      </c>
      <c r="B13" s="4" t="s">
        <v>333</v>
      </c>
      <c r="C13" s="4" t="s">
        <v>328</v>
      </c>
      <c r="D13" s="4" t="s">
        <v>329</v>
      </c>
      <c r="E13" s="9"/>
      <c r="F13" s="4" t="s">
        <v>334</v>
      </c>
    </row>
    <row r="14" customFormat="false" ht="48" hidden="false" customHeight="true" outlineLevel="0" collapsed="false">
      <c r="A14" s="4" t="n">
        <v>11</v>
      </c>
      <c r="B14" s="4" t="s">
        <v>335</v>
      </c>
      <c r="C14" s="4" t="s">
        <v>328</v>
      </c>
      <c r="D14" s="4" t="s">
        <v>329</v>
      </c>
      <c r="E14" s="9"/>
      <c r="F14" s="4" t="s">
        <v>336</v>
      </c>
    </row>
    <row r="15" customFormat="false" ht="48" hidden="false" customHeight="true" outlineLevel="0" collapsed="false">
      <c r="A15" s="4" t="n">
        <v>12</v>
      </c>
      <c r="B15" s="4" t="s">
        <v>337</v>
      </c>
      <c r="C15" s="4" t="s">
        <v>328</v>
      </c>
      <c r="D15" s="4" t="s">
        <v>329</v>
      </c>
      <c r="E15" s="9"/>
      <c r="F15" s="4" t="s">
        <v>336</v>
      </c>
    </row>
    <row r="16" customFormat="false" ht="48" hidden="false" customHeight="true" outlineLevel="0" collapsed="false">
      <c r="A16" s="4" t="n">
        <v>13</v>
      </c>
      <c r="B16" s="4" t="s">
        <v>338</v>
      </c>
      <c r="C16" s="4" t="s">
        <v>328</v>
      </c>
      <c r="D16" s="4" t="s">
        <v>329</v>
      </c>
      <c r="E16" s="9"/>
      <c r="F16" s="4" t="s">
        <v>339</v>
      </c>
    </row>
    <row r="17" customFormat="false" ht="48" hidden="false" customHeight="true" outlineLevel="0" collapsed="false">
      <c r="A17" s="4" t="n">
        <v>14</v>
      </c>
      <c r="B17" s="4" t="s">
        <v>340</v>
      </c>
      <c r="C17" s="4" t="s">
        <v>341</v>
      </c>
      <c r="D17" s="4" t="s">
        <v>329</v>
      </c>
      <c r="E17" s="9"/>
      <c r="F17" s="4"/>
    </row>
    <row r="18" customFormat="false" ht="48" hidden="false" customHeight="true" outlineLevel="0" collapsed="false">
      <c r="A18" s="4" t="n">
        <v>15</v>
      </c>
      <c r="B18" s="4" t="s">
        <v>342</v>
      </c>
      <c r="C18" s="4" t="s">
        <v>328</v>
      </c>
      <c r="D18" s="4" t="s">
        <v>329</v>
      </c>
      <c r="E18" s="9"/>
      <c r="F18" s="4" t="s">
        <v>343</v>
      </c>
    </row>
    <row r="19" customFormat="false" ht="48" hidden="false" customHeight="true" outlineLevel="0" collapsed="false">
      <c r="A19" s="4" t="n">
        <v>16</v>
      </c>
      <c r="B19" s="4" t="s">
        <v>344</v>
      </c>
      <c r="C19" s="4" t="s">
        <v>345</v>
      </c>
      <c r="D19" s="4" t="s">
        <v>346</v>
      </c>
      <c r="E19" s="9"/>
      <c r="F19" s="4" t="s">
        <v>347</v>
      </c>
    </row>
    <row r="20" customFormat="false" ht="48" hidden="false" customHeight="true" outlineLevel="0" collapsed="false">
      <c r="A20" s="4" t="n">
        <v>17</v>
      </c>
      <c r="B20" s="4" t="s">
        <v>348</v>
      </c>
      <c r="C20" s="4" t="s">
        <v>345</v>
      </c>
      <c r="D20" s="4" t="s">
        <v>346</v>
      </c>
      <c r="E20" s="9"/>
      <c r="F20" s="4" t="s">
        <v>349</v>
      </c>
    </row>
    <row r="21" customFormat="false" ht="48" hidden="false" customHeight="true" outlineLevel="0" collapsed="false">
      <c r="A21" s="4" t="n">
        <v>18</v>
      </c>
      <c r="B21" s="4" t="s">
        <v>350</v>
      </c>
      <c r="C21" s="4" t="s">
        <v>351</v>
      </c>
      <c r="D21" s="4" t="s">
        <v>352</v>
      </c>
      <c r="E21" s="9"/>
      <c r="F21" s="4" t="s">
        <v>353</v>
      </c>
    </row>
    <row r="22" customFormat="false" ht="48" hidden="false" customHeight="true" outlineLevel="0" collapsed="false">
      <c r="A22" s="4" t="n">
        <v>19</v>
      </c>
      <c r="B22" s="4" t="s">
        <v>354</v>
      </c>
      <c r="C22" s="4" t="s">
        <v>355</v>
      </c>
      <c r="D22" s="4" t="s">
        <v>356</v>
      </c>
      <c r="E22" s="9"/>
      <c r="F22" s="4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1" t="s">
        <v>358</v>
      </c>
    </row>
    <row r="2" customFormat="false" ht="15" hidden="false" customHeight="false" outlineLevel="0" collapsed="false">
      <c r="A2" s="12" t="s">
        <v>359</v>
      </c>
      <c r="B2" s="12"/>
      <c r="C2" s="12"/>
      <c r="D2" s="12"/>
      <c r="E2" s="13" t="n">
        <v>1</v>
      </c>
      <c r="F2" s="14" t="s">
        <v>360</v>
      </c>
    </row>
    <row r="3" customFormat="false" ht="11.9" hidden="false" customHeight="false" outlineLevel="0" collapsed="false">
      <c r="A3" s="15" t="s">
        <v>361</v>
      </c>
      <c r="B3" s="15"/>
      <c r="C3" s="15"/>
      <c r="D3" s="15"/>
      <c r="E3" s="15"/>
      <c r="F3" s="15"/>
      <c r="G3" s="15"/>
    </row>
    <row r="5" customFormat="false" ht="31.5" hidden="false" customHeight="true" outlineLevel="0" collapsed="false">
      <c r="A5" s="3" t="s">
        <v>18</v>
      </c>
      <c r="B5" s="3" t="s">
        <v>20</v>
      </c>
      <c r="C5" s="3" t="s">
        <v>22</v>
      </c>
      <c r="D5" s="3" t="s">
        <v>362</v>
      </c>
      <c r="E5" s="3" t="s">
        <v>363</v>
      </c>
      <c r="F5" s="3" t="s">
        <v>364</v>
      </c>
      <c r="G5" s="3" t="s">
        <v>365</v>
      </c>
    </row>
    <row r="6" customFormat="false" ht="15" hidden="false" customHeight="false" outlineLevel="0" collapsed="false">
      <c r="A6" s="16" t="s">
        <v>366</v>
      </c>
      <c r="B6" s="16" t="s">
        <v>367</v>
      </c>
      <c r="C6" s="16" t="s">
        <v>51</v>
      </c>
      <c r="D6" s="17" t="n">
        <v>4.2</v>
      </c>
      <c r="E6" s="17" t="n">
        <v>3.6</v>
      </c>
      <c r="F6" s="18" t="n">
        <f aca="false">IF(AND(ISNUMBER(D6),ISNUMBER(E6)),D6-E6,"")</f>
        <v>0.6</v>
      </c>
      <c r="G6" s="5" t="str">
        <f aca="false">IF(F6="","",IF(ABS(F6)&gt;=$E$2,"شکاف قابل‌توجه","همسو"))</f>
        <v>همسو</v>
      </c>
    </row>
    <row r="7" customFormat="false" ht="30" hidden="false" customHeight="true" outlineLevel="0" collapsed="false">
      <c r="A7" s="19" t="str">
        <f aca="false">ماتریس!A5</f>
        <v>C01</v>
      </c>
      <c r="B7" s="19" t="str">
        <f aca="false">ماتریس!C5</f>
        <v>حاکمیت و نظارت مدیران ارشد بر ریسک سایبری</v>
      </c>
      <c r="C7" s="19" t="str">
        <f aca="false">ماتریس!E5</f>
        <v>سازمان</v>
      </c>
      <c r="D7" s="20"/>
      <c r="E7" s="20"/>
      <c r="F7" s="18" t="str">
        <f aca="false">IF(AND(ISNUMBER(D7),ISNUMBER(E7)),D7-E7,"")</f>
        <v/>
      </c>
      <c r="G7" s="5" t="str">
        <f aca="false">IF(F7="","",IF(ABS(F7)&gt;=$E$2,"شکاف قابل‌توجه","همسو"))</f>
        <v/>
      </c>
    </row>
    <row r="8" customFormat="false" ht="30" hidden="false" customHeight="true" outlineLevel="0" collapsed="false">
      <c r="A8" s="19" t="str">
        <f aca="false">ماتریس!A6</f>
        <v>C02</v>
      </c>
      <c r="B8" s="19" t="str">
        <f aca="false">ماتریس!C6</f>
        <v>سیاست‌ها و راهبرد امنیت سایبری</v>
      </c>
      <c r="C8" s="19" t="str">
        <f aca="false">ماتریس!E6</f>
        <v>سازمان</v>
      </c>
      <c r="D8" s="20"/>
      <c r="E8" s="20"/>
      <c r="F8" s="18" t="str">
        <f aca="false">IF(AND(ISNUMBER(D8),ISNUMBER(E8)),D8-E8,"")</f>
        <v/>
      </c>
      <c r="G8" s="5" t="str">
        <f aca="false">IF(F8="","",IF(ABS(F8)&gt;=$E$2,"شکاف قابل‌توجه","همسو"))</f>
        <v/>
      </c>
    </row>
    <row r="9" customFormat="false" ht="30" hidden="false" customHeight="true" outlineLevel="0" collapsed="false">
      <c r="A9" s="19" t="str">
        <f aca="false">ماتریس!A7</f>
        <v>C03</v>
      </c>
      <c r="B9" s="19" t="str">
        <f aca="false">ماتریس!C7</f>
        <v>تعیین زمینه، دامنه و اهداف ارزیابی</v>
      </c>
      <c r="C9" s="19" t="str">
        <f aca="false">ماتریس!E7</f>
        <v>مشترک</v>
      </c>
      <c r="D9" s="20"/>
      <c r="E9" s="20"/>
      <c r="F9" s="18" t="str">
        <f aca="false">IF(AND(ISNUMBER(D9),ISNUMBER(E9)),D9-E9,"")</f>
        <v/>
      </c>
      <c r="G9" s="5" t="str">
        <f aca="false">IF(F9="","",IF(ABS(F9)&gt;=$E$2,"شکاف قابل‌توجه","همسو"))</f>
        <v/>
      </c>
    </row>
    <row r="10" customFormat="false" ht="30" hidden="false" customHeight="true" outlineLevel="0" collapsed="false">
      <c r="A10" s="19" t="str">
        <f aca="false">ماتریس!A8</f>
        <v>C04</v>
      </c>
      <c r="B10" s="19" t="str">
        <f aca="false">ماتریس!C8</f>
        <v>شناسایی و طبقه‌بندی دارایی‌ها</v>
      </c>
      <c r="C10" s="19" t="str">
        <f aca="false">ماتریس!E8</f>
        <v>مشترک</v>
      </c>
      <c r="D10" s="20"/>
      <c r="E10" s="20"/>
      <c r="F10" s="18" t="str">
        <f aca="false">IF(AND(ISNUMBER(D10),ISNUMBER(E10)),D10-E10,"")</f>
        <v/>
      </c>
      <c r="G10" s="5" t="str">
        <f aca="false">IF(F10="","",IF(ABS(F10)&gt;=$E$2,"شکاف قابل‌توجه","همسو"))</f>
        <v/>
      </c>
    </row>
    <row r="11" customFormat="false" ht="30" hidden="false" customHeight="true" outlineLevel="0" collapsed="false">
      <c r="A11" s="19" t="str">
        <f aca="false">ماتریس!A9</f>
        <v>C05</v>
      </c>
      <c r="B11" s="19" t="str">
        <f aca="false">ماتریس!C9</f>
        <v>شناسایی تهدید و اطلاعات تهدید</v>
      </c>
      <c r="C11" s="19" t="str">
        <f aca="false">ماتریس!E9</f>
        <v>سازمان</v>
      </c>
      <c r="D11" s="20"/>
      <c r="E11" s="20"/>
      <c r="F11" s="18" t="str">
        <f aca="false">IF(AND(ISNUMBER(D11),ISNUMBER(E11)),D11-E11,"")</f>
        <v/>
      </c>
      <c r="G11" s="5" t="str">
        <f aca="false">IF(F11="","",IF(ABS(F11)&gt;=$E$2,"شکاف قابل‌توجه","همسو"))</f>
        <v/>
      </c>
    </row>
    <row r="12" customFormat="false" ht="30" hidden="false" customHeight="true" outlineLevel="0" collapsed="false">
      <c r="A12" s="19" t="str">
        <f aca="false">ماتریس!A10</f>
        <v>C06</v>
      </c>
      <c r="B12" s="19" t="str">
        <f aca="false">ماتریس!C10</f>
        <v>مدیریت آسیب‌پذیری و آزمون نفوذ</v>
      </c>
      <c r="C12" s="19" t="str">
        <f aca="false">ماتریس!E10</f>
        <v>سازمان</v>
      </c>
      <c r="D12" s="20"/>
      <c r="E12" s="20"/>
      <c r="F12" s="18" t="str">
        <f aca="false">IF(AND(ISNUMBER(D12),ISNUMBER(E12)),D12-E12,"")</f>
        <v/>
      </c>
      <c r="G12" s="5" t="str">
        <f aca="false">IF(F12="","",IF(ABS(F12)&gt;=$E$2,"شکاف قابل‌توجه","همسو"))</f>
        <v/>
      </c>
    </row>
    <row r="13" customFormat="false" ht="30" hidden="false" customHeight="true" outlineLevel="0" collapsed="false">
      <c r="A13" s="19" t="str">
        <f aca="false">ماتریس!A11</f>
        <v>C07</v>
      </c>
      <c r="B13" s="19" t="str">
        <f aca="false">ماتریس!C11</f>
        <v>تحلیل و ارزیابی ریسک (احتمال، اثر، رتبه‌بندی)</v>
      </c>
      <c r="C13" s="19" t="str">
        <f aca="false">ماتریس!E11</f>
        <v>مشترک</v>
      </c>
      <c r="D13" s="20"/>
      <c r="E13" s="20"/>
      <c r="F13" s="18" t="str">
        <f aca="false">IF(AND(ISNUMBER(D13),ISNUMBER(E13)),D13-E13,"")</f>
        <v/>
      </c>
      <c r="G13" s="5" t="str">
        <f aca="false">IF(F13="","",IF(ABS(F13)&gt;=$E$2,"شکاف قابل‌توجه","همسو"))</f>
        <v/>
      </c>
    </row>
    <row r="14" customFormat="false" ht="30" hidden="false" customHeight="true" outlineLevel="0" collapsed="false">
      <c r="A14" s="19" t="str">
        <f aca="false">ماتریس!A12</f>
        <v>C08</v>
      </c>
      <c r="B14" s="19" t="str">
        <f aca="false">ماتریس!C12</f>
        <v>ریسک تقلب سایبری و تغییرات محیط</v>
      </c>
      <c r="C14" s="19" t="str">
        <f aca="false">ماتریس!E12</f>
        <v>مشترک</v>
      </c>
      <c r="D14" s="20"/>
      <c r="E14" s="20"/>
      <c r="F14" s="18" t="str">
        <f aca="false">IF(AND(ISNUMBER(D14),ISNUMBER(E14)),D14-E14,"")</f>
        <v/>
      </c>
      <c r="G14" s="5" t="str">
        <f aca="false">IF(F14="","",IF(ABS(F14)&gt;=$E$2,"شکاف قابل‌توجه","همسو"))</f>
        <v/>
      </c>
    </row>
    <row r="15" customFormat="false" ht="30" hidden="false" customHeight="true" outlineLevel="0" collapsed="false">
      <c r="A15" s="19" t="str">
        <f aca="false">ماتریس!A13</f>
        <v>C09</v>
      </c>
      <c r="B15" s="19" t="str">
        <f aca="false">ماتریس!C13</f>
        <v>اجرای کنترل‌ها و برنامه برطرف‌سازی ریسک</v>
      </c>
      <c r="C15" s="19" t="str">
        <f aca="false">ماتریس!E13</f>
        <v>سازمان</v>
      </c>
      <c r="D15" s="20"/>
      <c r="E15" s="20"/>
      <c r="F15" s="18" t="str">
        <f aca="false">IF(AND(ISNUMBER(D15),ISNUMBER(E15)),D15-E15,"")</f>
        <v/>
      </c>
      <c r="G15" s="5" t="str">
        <f aca="false">IF(F15="","",IF(ABS(F15)&gt;=$E$2,"شکاف قابل‌توجه","همسو"))</f>
        <v/>
      </c>
    </row>
    <row r="16" customFormat="false" ht="30" hidden="false" customHeight="true" outlineLevel="0" collapsed="false">
      <c r="A16" s="19" t="str">
        <f aca="false">ماتریس!A14</f>
        <v>C10</v>
      </c>
      <c r="B16" s="19" t="str">
        <f aca="false">ماتریس!C14</f>
        <v>کنترل دسترسی و احراز هویت</v>
      </c>
      <c r="C16" s="19" t="str">
        <f aca="false">ماتریس!E14</f>
        <v>سازمان</v>
      </c>
      <c r="D16" s="20"/>
      <c r="E16" s="20"/>
      <c r="F16" s="18" t="str">
        <f aca="false">IF(AND(ISNUMBER(D16),ISNUMBER(E16)),D16-E16,"")</f>
        <v/>
      </c>
      <c r="G16" s="5" t="str">
        <f aca="false">IF(F16="","",IF(ABS(F16)&gt;=$E$2,"شکاف قابل‌توجه","همسو"))</f>
        <v/>
      </c>
    </row>
    <row r="17" customFormat="false" ht="30" hidden="false" customHeight="true" outlineLevel="0" collapsed="false">
      <c r="A17" s="19" t="str">
        <f aca="false">ماتریس!A15</f>
        <v>C11</v>
      </c>
      <c r="B17" s="19" t="str">
        <f aca="false">ماتریس!C15</f>
        <v>حفاظت از داده و رمزنگاری</v>
      </c>
      <c r="C17" s="19" t="str">
        <f aca="false">ماتریس!E15</f>
        <v>سازمان</v>
      </c>
      <c r="D17" s="20"/>
      <c r="E17" s="20"/>
      <c r="F17" s="18" t="str">
        <f aca="false">IF(AND(ISNUMBER(D17),ISNUMBER(E17)),D17-E17,"")</f>
        <v/>
      </c>
      <c r="G17" s="5" t="str">
        <f aca="false">IF(F17="","",IF(ABS(F17)&gt;=$E$2,"شکاف قابل‌توجه","همسو"))</f>
        <v/>
      </c>
    </row>
    <row r="18" customFormat="false" ht="30" hidden="false" customHeight="true" outlineLevel="0" collapsed="false">
      <c r="A18" s="19" t="str">
        <f aca="false">ماتریس!A16</f>
        <v>C12</v>
      </c>
      <c r="B18" s="19" t="str">
        <f aca="false">ماتریس!C16</f>
        <v>امنیت شبکه، زیرساخت و محیط فیزیکی</v>
      </c>
      <c r="C18" s="19" t="str">
        <f aca="false">ماتریس!E16</f>
        <v>سازمان</v>
      </c>
      <c r="D18" s="20"/>
      <c r="E18" s="20"/>
      <c r="F18" s="18" t="str">
        <f aca="false">IF(AND(ISNUMBER(D18),ISNUMBER(E18)),D18-E18,"")</f>
        <v/>
      </c>
      <c r="G18" s="5" t="str">
        <f aca="false">IF(F18="","",IF(ABS(F18)&gt;=$E$2,"شکاف قابل‌توجه","همسو"))</f>
        <v/>
      </c>
    </row>
    <row r="19" customFormat="false" ht="30" hidden="false" customHeight="true" outlineLevel="0" collapsed="false">
      <c r="A19" s="19" t="str">
        <f aca="false">ماتریس!A17</f>
        <v>C13</v>
      </c>
      <c r="B19" s="19" t="str">
        <f aca="false">ماتریس!C17</f>
        <v>توسعه امن و مدیریت تغییرات</v>
      </c>
      <c r="C19" s="19" t="str">
        <f aca="false">ماتریس!E17</f>
        <v>سازمان</v>
      </c>
      <c r="D19" s="20"/>
      <c r="E19" s="20"/>
      <c r="F19" s="18" t="str">
        <f aca="false">IF(AND(ISNUMBER(D19),ISNUMBER(E19)),D19-E19,"")</f>
        <v/>
      </c>
      <c r="G19" s="5" t="str">
        <f aca="false">IF(F19="","",IF(ABS(F19)&gt;=$E$2,"شکاف قابل‌توجه","همسو"))</f>
        <v/>
      </c>
    </row>
    <row r="20" customFormat="false" ht="30" hidden="false" customHeight="true" outlineLevel="0" collapsed="false">
      <c r="A20" s="19" t="str">
        <f aca="false">ماتریس!A18</f>
        <v>C14</v>
      </c>
      <c r="B20" s="19" t="str">
        <f aca="false">ماتریس!C18</f>
        <v>آگاهی و آموزش امنیتی</v>
      </c>
      <c r="C20" s="19" t="str">
        <f aca="false">ماتریس!E18</f>
        <v>سازمان</v>
      </c>
      <c r="D20" s="20"/>
      <c r="E20" s="20"/>
      <c r="F20" s="18" t="str">
        <f aca="false">IF(AND(ISNUMBER(D20),ISNUMBER(E20)),D20-E20,"")</f>
        <v/>
      </c>
      <c r="G20" s="5" t="str">
        <f aca="false">IF(F20="","",IF(ABS(F20)&gt;=$E$2,"شکاف قابل‌توجه","همسو"))</f>
        <v/>
      </c>
    </row>
    <row r="21" customFormat="false" ht="30" hidden="false" customHeight="true" outlineLevel="0" collapsed="false">
      <c r="A21" s="19" t="str">
        <f aca="false">ماتریس!A19</f>
        <v>C15</v>
      </c>
      <c r="B21" s="19" t="str">
        <f aca="false">ماتریس!C19</f>
        <v>ریسک شخص ثالث و زنجیره تأمین</v>
      </c>
      <c r="C21" s="19" t="str">
        <f aca="false">ماتریس!E19</f>
        <v>مشترک</v>
      </c>
      <c r="D21" s="20"/>
      <c r="E21" s="20"/>
      <c r="F21" s="18" t="str">
        <f aca="false">IF(AND(ISNUMBER(D21),ISNUMBER(E21)),D21-E21,"")</f>
        <v/>
      </c>
      <c r="G21" s="5" t="str">
        <f aca="false">IF(F21="","",IF(ABS(F21)&gt;=$E$2,"شکاف قابل‌توجه","همسو"))</f>
        <v/>
      </c>
    </row>
    <row r="22" customFormat="false" ht="30" hidden="false" customHeight="true" outlineLevel="0" collapsed="false">
      <c r="A22" s="19" t="str">
        <f aca="false">ماتریس!A20</f>
        <v>C16</v>
      </c>
      <c r="B22" s="19" t="str">
        <f aca="false">ماتریس!C20</f>
        <v>پایش مستمر و ثبت وقایع</v>
      </c>
      <c r="C22" s="19" t="str">
        <f aca="false">ماتریس!E20</f>
        <v>مشترک</v>
      </c>
      <c r="D22" s="20"/>
      <c r="E22" s="20"/>
      <c r="F22" s="18" t="str">
        <f aca="false">IF(AND(ISNUMBER(D22),ISNUMBER(E22)),D22-E22,"")</f>
        <v/>
      </c>
      <c r="G22" s="5" t="str">
        <f aca="false">IF(F22="","",IF(ABS(F22)&gt;=$E$2,"شکاف قابل‌توجه","همسو"))</f>
        <v/>
      </c>
    </row>
    <row r="23" customFormat="false" ht="30" hidden="false" customHeight="true" outlineLevel="0" collapsed="false">
      <c r="A23" s="19" t="str">
        <f aca="false">ماتریس!A21</f>
        <v>C17</v>
      </c>
      <c r="B23" s="19" t="str">
        <f aca="false">ماتریس!C21</f>
        <v>مدیریت و پاسخ به حوادث</v>
      </c>
      <c r="C23" s="19" t="str">
        <f aca="false">ماتریس!E21</f>
        <v>سازمان</v>
      </c>
      <c r="D23" s="20"/>
      <c r="E23" s="20"/>
      <c r="F23" s="18" t="str">
        <f aca="false">IF(AND(ISNUMBER(D23),ISNUMBER(E23)),D23-E23,"")</f>
        <v/>
      </c>
      <c r="G23" s="5" t="str">
        <f aca="false">IF(F23="","",IF(ABS(F23)&gt;=$E$2,"شکاف قابل‌توجه","همسو"))</f>
        <v/>
      </c>
    </row>
    <row r="24" customFormat="false" ht="30" hidden="false" customHeight="true" outlineLevel="0" collapsed="false">
      <c r="A24" s="19" t="str">
        <f aca="false">ماتریس!A22</f>
        <v>C18</v>
      </c>
      <c r="B24" s="19" t="str">
        <f aca="false">ماتریس!C22</f>
        <v>تداوم کسب‌وکار و بازیابی از بحران</v>
      </c>
      <c r="C24" s="19" t="str">
        <f aca="false">ماتریس!E22</f>
        <v>مشترک</v>
      </c>
      <c r="D24" s="20"/>
      <c r="E24" s="20"/>
      <c r="F24" s="18" t="str">
        <f aca="false">IF(AND(ISNUMBER(D24),ISNUMBER(E24)),D24-E24,"")</f>
        <v/>
      </c>
      <c r="G24" s="5" t="str">
        <f aca="false">IF(F24="","",IF(ABS(F24)&gt;=$E$2,"شکاف قابل‌توجه","همسو"))</f>
        <v/>
      </c>
    </row>
    <row r="25" customFormat="false" ht="30" hidden="false" customHeight="true" outlineLevel="0" collapsed="false">
      <c r="A25" s="19" t="str">
        <f aca="false">ماتریس!A23</f>
        <v>C19</v>
      </c>
      <c r="B25" s="19" t="str">
        <f aca="false">ماتریس!C23</f>
        <v>انطباق با الزامات قانونی و حریم خصوصی</v>
      </c>
      <c r="C25" s="19" t="str">
        <f aca="false">ماتریس!E23</f>
        <v>مشترک</v>
      </c>
      <c r="D25" s="20"/>
      <c r="E25" s="20"/>
      <c r="F25" s="18" t="str">
        <f aca="false">IF(AND(ISNUMBER(D25),ISNUMBER(E25)),D25-E25,"")</f>
        <v/>
      </c>
      <c r="G25" s="5" t="str">
        <f aca="false">IF(F25="","",IF(ABS(F25)&gt;=$E$2,"شکاف قابل‌توجه","همسو"))</f>
        <v/>
      </c>
    </row>
    <row r="26" customFormat="false" ht="30" hidden="false" customHeight="true" outlineLevel="0" collapsed="false">
      <c r="A26" s="19" t="str">
        <f aca="false">ماتریس!A24</f>
        <v>C20</v>
      </c>
      <c r="B26" s="19" t="str">
        <f aca="false">ماتریس!C24</f>
        <v>بهبود مستمر و ارزیابی اثربخشی</v>
      </c>
      <c r="C26" s="19" t="str">
        <f aca="false">ماتریس!E24</f>
        <v>سازمان</v>
      </c>
      <c r="D26" s="20"/>
      <c r="E26" s="20"/>
      <c r="F26" s="18" t="str">
        <f aca="false">IF(AND(ISNUMBER(D26),ISNUMBER(E26)),D26-E26,"")</f>
        <v/>
      </c>
      <c r="G26" s="5" t="str">
        <f aca="false">IF(F26="","",IF(ABS(F26)&gt;=$E$2,"شکاف قابل‌توجه","همسو"))</f>
        <v/>
      </c>
    </row>
    <row r="27" customFormat="false" ht="30" hidden="false" customHeight="true" outlineLevel="0" collapsed="false">
      <c r="A27" s="19" t="str">
        <f aca="false">ماتریس!A25</f>
        <v>C21</v>
      </c>
      <c r="B27" s="19" t="str">
        <f aca="false">ماتریس!C25</f>
        <v>مستندسازی و گزارشگری ریسک</v>
      </c>
      <c r="C27" s="19" t="str">
        <f aca="false">ماتریس!E25</f>
        <v>مشترک</v>
      </c>
      <c r="D27" s="20"/>
      <c r="E27" s="20"/>
      <c r="F27" s="18" t="str">
        <f aca="false">IF(AND(ISNUMBER(D27),ISNUMBER(E27)),D27-E27,"")</f>
        <v/>
      </c>
      <c r="G27" s="5" t="str">
        <f aca="false">IF(F27="","",IF(ABS(F27)&gt;=$E$2,"شکاف قابل‌توجه","همسو"))</f>
        <v/>
      </c>
    </row>
    <row r="28" customFormat="false" ht="30" hidden="false" customHeight="true" outlineLevel="0" collapsed="false">
      <c r="A28" s="19" t="str">
        <f aca="false">ماتریس!A26</f>
        <v>A01</v>
      </c>
      <c r="B28" s="19" t="str">
        <f aca="false">ماتریس!C26</f>
        <v>درک سازمان، محیط IT و سیستم اطلاعاتی</v>
      </c>
      <c r="C28" s="19" t="str">
        <f aca="false">ماتریس!E26</f>
        <v>حسابرس</v>
      </c>
      <c r="D28" s="20"/>
      <c r="E28" s="20"/>
      <c r="F28" s="18" t="str">
        <f aca="false">IF(AND(ISNUMBER(D28),ISNUMBER(E28)),D28-E28,"")</f>
        <v/>
      </c>
      <c r="G28" s="5" t="str">
        <f aca="false">IF(F28="","",IF(ABS(F28)&gt;=$E$2,"شکاف قابل‌توجه","همسو"))</f>
        <v/>
      </c>
    </row>
    <row r="29" customFormat="false" ht="30" hidden="false" customHeight="true" outlineLevel="0" collapsed="false">
      <c r="A29" s="19" t="str">
        <f aca="false">ماتریس!A27</f>
        <v>A02</v>
      </c>
      <c r="B29" s="19" t="str">
        <f aca="false">ماتریس!C27</f>
        <v>ارزیابی اثر ریسک سایبری بر ریسک تحریف با اهمیت</v>
      </c>
      <c r="C29" s="19" t="str">
        <f aca="false">ماتریس!E27</f>
        <v>حسابرس</v>
      </c>
      <c r="D29" s="20"/>
      <c r="E29" s="20"/>
      <c r="F29" s="18" t="str">
        <f aca="false">IF(AND(ISNUMBER(D29),ISNUMBER(E29)),D29-E29,"")</f>
        <v/>
      </c>
      <c r="G29" s="5" t="str">
        <f aca="false">IF(F29="","",IF(ABS(F29)&gt;=$E$2,"شکاف قابل‌توجه","همسو"))</f>
        <v/>
      </c>
    </row>
    <row r="30" customFormat="false" ht="30" hidden="false" customHeight="true" outlineLevel="0" collapsed="false">
      <c r="A30" s="19" t="str">
        <f aca="false">ماتریس!A28</f>
        <v>A03</v>
      </c>
      <c r="B30" s="19" t="str">
        <f aca="false">ماتریس!C28</f>
        <v>ارزیابی طراحی و اثربخشی کنترل‌های عمومی IT</v>
      </c>
      <c r="C30" s="19" t="str">
        <f aca="false">ماتریس!E28</f>
        <v>حسابرس</v>
      </c>
      <c r="D30" s="20"/>
      <c r="E30" s="20"/>
      <c r="F30" s="18" t="str">
        <f aca="false">IF(AND(ISNUMBER(D30),ISNUMBER(E30)),D30-E30,"")</f>
        <v/>
      </c>
      <c r="G30" s="5" t="str">
        <f aca="false">IF(F30="","",IF(ABS(F30)&gt;=$E$2,"شکاف قابل‌توجه","همسو"))</f>
        <v/>
      </c>
    </row>
    <row r="31" customFormat="false" ht="30" hidden="false" customHeight="true" outlineLevel="0" collapsed="false">
      <c r="A31" s="19" t="str">
        <f aca="false">ماتریس!A29</f>
        <v>A04</v>
      </c>
      <c r="B31" s="19" t="str">
        <f aca="false">ماتریس!C29</f>
        <v>کفایت و قابلیت اتکای شواهد الکترونیکی</v>
      </c>
      <c r="C31" s="19" t="str">
        <f aca="false">ماتریس!E29</f>
        <v>حسابرس</v>
      </c>
      <c r="D31" s="20"/>
      <c r="E31" s="20"/>
      <c r="F31" s="18" t="str">
        <f aca="false">IF(AND(ISNUMBER(D31),ISNUMBER(E31)),D31-E31,"")</f>
        <v/>
      </c>
      <c r="G31" s="5" t="str">
        <f aca="false">IF(F31="","",IF(ABS(F31)&gt;=$E$2,"شکاف قابل‌توجه","همسو"))</f>
        <v/>
      </c>
    </row>
    <row r="32" customFormat="false" ht="30" hidden="false" customHeight="true" outlineLevel="0" collapsed="false">
      <c r="A32" s="19" t="str">
        <f aca="false">ماتریس!A30</f>
        <v>A05</v>
      </c>
      <c r="B32" s="19" t="str">
        <f aca="false">ماتریس!C30</f>
        <v>اتکا به گزارش‌های سازمان خدماتی</v>
      </c>
      <c r="C32" s="19" t="str">
        <f aca="false">ماتریس!E30</f>
        <v>حسابرس</v>
      </c>
      <c r="D32" s="20"/>
      <c r="E32" s="20"/>
      <c r="F32" s="18" t="str">
        <f aca="false">IF(AND(ISNUMBER(D32),ISNUMBER(E32)),D32-E32,"")</f>
        <v/>
      </c>
      <c r="G32" s="5" t="str">
        <f aca="false">IF(F32="","",IF(ABS(F32)&gt;=$E$2,"شکاف قابل‌توجه","همسو"))</f>
        <v/>
      </c>
    </row>
    <row r="33" customFormat="false" ht="30" hidden="false" customHeight="true" outlineLevel="0" collapsed="false">
      <c r="A33" s="19" t="str">
        <f aca="false">ماتریس!A31</f>
        <v>A06</v>
      </c>
      <c r="B33" s="19" t="str">
        <f aca="false">ماتریس!C31</f>
        <v>شایستگی فنی حسابرس و استفاده از کارشناس</v>
      </c>
      <c r="C33" s="19" t="str">
        <f aca="false">ماتریس!E31</f>
        <v>حسابرس</v>
      </c>
      <c r="D33" s="20"/>
      <c r="E33" s="20"/>
      <c r="F33" s="18" t="str">
        <f aca="false">IF(AND(ISNUMBER(D33),ISNUMBER(E33)),D33-E33,"")</f>
        <v/>
      </c>
      <c r="G33" s="5" t="str">
        <f aca="false">IF(F33="","",IF(ABS(F33)&gt;=$E$2,"شکاف قابل‌توجه","همسو"))</f>
        <v/>
      </c>
    </row>
    <row r="34" customFormat="false" ht="30" hidden="false" customHeight="true" outlineLevel="0" collapsed="false">
      <c r="A34" s="19" t="str">
        <f aca="false">ماتریس!A32</f>
        <v>A07</v>
      </c>
      <c r="B34" s="19" t="str">
        <f aca="false">ماتریس!C32</f>
        <v>ارزیابی اثر حوادث سایبری بر صورت‌های مالی و افشا</v>
      </c>
      <c r="C34" s="19" t="str">
        <f aca="false">ماتریس!E32</f>
        <v>حسابرس</v>
      </c>
      <c r="D34" s="20"/>
      <c r="E34" s="20"/>
      <c r="F34" s="18" t="str">
        <f aca="false">IF(AND(ISNUMBER(D34),ISNUMBER(E34)),D34-E34,"")</f>
        <v/>
      </c>
      <c r="G34" s="5" t="str">
        <f aca="false">IF(F34="","",IF(ABS(F34)&gt;=$E$2,"شکاف قابل‌توجه","همسو"))</f>
        <v/>
      </c>
    </row>
    <row r="35" customFormat="false" ht="30" hidden="false" customHeight="true" outlineLevel="0" collapsed="false">
      <c r="A35" s="19" t="str">
        <f aca="false">ماتریس!A33</f>
        <v>A08</v>
      </c>
      <c r="B35" s="19" t="str">
        <f aca="false">ماتریس!C33</f>
        <v>ارتباط با راهبران و گزارش نقاط ضعف کنترلی</v>
      </c>
      <c r="C35" s="19" t="str">
        <f aca="false">ماتریس!E33</f>
        <v>حسابرس</v>
      </c>
      <c r="D35" s="20"/>
      <c r="E35" s="20"/>
      <c r="F35" s="18" t="str">
        <f aca="false">IF(AND(ISNUMBER(D35),ISNUMBER(E35)),D35-E35,"")</f>
        <v/>
      </c>
      <c r="G35" s="5" t="str">
        <f aca="false">IF(F35="","",IF(ABS(F35)&gt;=$E$2,"شکاف قابل‌توجه","همسو"))</f>
        <v/>
      </c>
    </row>
    <row r="36" customFormat="false" ht="30" hidden="false" customHeight="true" outlineLevel="0" collapsed="false">
      <c r="A36" s="19" t="str">
        <f aca="false">ماتریس!A34</f>
        <v>A09</v>
      </c>
      <c r="B36" s="19" t="str">
        <f aca="false">ماتریس!C34</f>
        <v>قضاوت و تردید حرفه‌ای در ریسک سایبری</v>
      </c>
      <c r="C36" s="19" t="str">
        <f aca="false">ماتریس!E34</f>
        <v>حسابرس</v>
      </c>
      <c r="D36" s="20"/>
      <c r="E36" s="20"/>
      <c r="F36" s="18" t="str">
        <f aca="false">IF(AND(ISNUMBER(D36),ISNUMBER(E36)),D36-E36,"")</f>
        <v/>
      </c>
      <c r="G36" s="5" t="str">
        <f aca="false">IF(F36="","",IF(ABS(F36)&gt;=$E$2,"شکاف قابل‌توجه","همسو"))</f>
        <v/>
      </c>
    </row>
  </sheetData>
  <mergeCells count="2">
    <mergeCell ref="A2:D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2026-10-09T07:29:40Z</dcterms:created>
  <dc:creator>openpyxl</dc:creator>
  <dc:description/>
  <dc:language>en-US</dc:language>
  <cp:lastModifiedBy/>
  <dcterms:modified xsi:type="dcterms:W3CDTF">2026-10-09T07:29:40Z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