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جدول نهایی مولفه‌ها" sheetId="1" state="visible" r:id="rId3"/>
    <sheet name="خلاصه" sheetId="2" state="visible" r:id="rId4"/>
  </sheets>
  <definedNames>
    <definedName function="false" hidden="true" localSheetId="0" name="_xlnm._FilterDatabase" vbProcedure="false">'جدول نهایی مولفه‌ها'!$A$1:$L$31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<sst xmlns="http://schemas.openxmlformats.org/spreadsheetml/2006/main" count="378" uniqueCount="241">
  <si>
    <t xml:space="preserve">کد</t>
  </si>
  <si>
    <t xml:space="preserve">مولفه (فارسی)</t>
  </si>
  <si>
    <t xml:space="preserve">Component (English)</t>
  </si>
  <si>
    <t xml:space="preserve">دیدگاه</t>
  </si>
  <si>
    <t xml:space="preserve">Perspective</t>
  </si>
  <si>
    <t xml:space="preserve">بُعد</t>
  </si>
  <si>
    <t xml:space="preserve">سازه</t>
  </si>
  <si>
    <t xml:space="preserve">تعریف (فارسی)</t>
  </si>
  <si>
    <t xml:space="preserve">Definition (English)</t>
  </si>
  <si>
    <t xml:space="preserve">استانداردها و راهنماها</t>
  </si>
  <si>
    <t xml:space="preserve">پژوهش‌های مرتبط (تأییدشده)</t>
  </si>
  <si>
    <t xml:space="preserve">شواهد</t>
  </si>
  <si>
    <t xml:space="preserve">C01</t>
  </si>
  <si>
    <t xml:space="preserve">حاکمیت و نظارت مدیران ارشد بر ریسک سایبری</t>
  </si>
  <si>
    <t xml:space="preserve">Governance and oversight of cyber risk by senior management</t>
  </si>
  <si>
    <t xml:space="preserve">سازمان</t>
  </si>
  <si>
    <t xml:space="preserve">Organization</t>
  </si>
  <si>
    <t xml:space="preserve">۱. حاکمیت و راهبرد</t>
  </si>
  <si>
    <t xml:space="preserve">COL</t>
  </si>
  <si>
    <t xml:space="preserve">نقش هیئت‌مدیره و مدیریت ارشد در تعیین ریسک‌پذیری، مسئولیت‌ها و نظارت بر برنامه ریسک سایبری</t>
  </si>
  <si>
    <t xml:space="preserve">Role of the board and senior management in setting risk appetite, assigning responsibilities and overseeing the cyber risk program</t>
  </si>
  <si>
    <t xml:space="preserve">NIST CSF 2.0: GV.OV, GV.RR | ISO/IEC 27001:2022: cl. 5, 9.3 | AICPA TSC: CC1 | ISA 260; IIA GIAS 2024</t>
  </si>
  <si>
    <t xml:space="preserve">Islam et al. (2018) [board governance, audit committee, risk function and extent of cybersecurity audit]; Higgs et al. (2016) [board-level technology committees and reported breaches]</t>
  </si>
  <si>
    <t xml:space="preserve">S+R</t>
  </si>
  <si>
    <t xml:space="preserve">C02</t>
  </si>
  <si>
    <t xml:space="preserve">سیاست‌ها و راهبرد امنیت سایبری</t>
  </si>
  <si>
    <t xml:space="preserve">Cybersecurity policies and strategy</t>
  </si>
  <si>
    <t xml:space="preserve">Context</t>
  </si>
  <si>
    <t xml:space="preserve">وجود سیاست‌های مصوب، راهبرد و ارتباط آن با اهداف کسب‌وکار</t>
  </si>
  <si>
    <t xml:space="preserve">Approved policies and a strategy aligned with business objectives</t>
  </si>
  <si>
    <t xml:space="preserve">NIST CSF 2.0: GV.PO, GV.OC | ISO/IEC 27001:2022: cl. 5.2 | AICPA TSC: CC1, CC5 | ISA 315 (control environment)</t>
  </si>
  <si>
    <t xml:space="preserve">—</t>
  </si>
  <si>
    <t xml:space="preserve">S</t>
  </si>
  <si>
    <t xml:space="preserve">C03</t>
  </si>
  <si>
    <t xml:space="preserve">تعیین زمینه، دامنه و اهداف ارزیابی</t>
  </si>
  <si>
    <t xml:space="preserve">Context, scope and objectives of the assessment</t>
  </si>
  <si>
    <t xml:space="preserve">مشترک</t>
  </si>
  <si>
    <t xml:space="preserve">Shared</t>
  </si>
  <si>
    <t xml:space="preserve">تعریف سیستم‌ها، فرایندها، داده‌ها و ذینفعان در دامنه ارزیابی</t>
  </si>
  <si>
    <t xml:space="preserve">Defining the systems, processes, data and stakeholders within the assessment scope</t>
  </si>
  <si>
    <t xml:space="preserve">NIST CSF 2.0: GV.OC | ISO/IEC 27001:2022: cl. 4 | ISO/IEC 27005:2022 (context) | AICPA DC section 100 | ISA 315</t>
  </si>
  <si>
    <t xml:space="preserve">C04</t>
  </si>
  <si>
    <t xml:space="preserve">شناسایی و طبقه‌بندی دارایی‌ها</t>
  </si>
  <si>
    <t xml:space="preserve">Asset identification and classification</t>
  </si>
  <si>
    <t xml:space="preserve">۲. فرایند ارزیابی ریسک</t>
  </si>
  <si>
    <t xml:space="preserve">TVI</t>
  </si>
  <si>
    <t xml:space="preserve">فهرست به‌روز دارایی‌های اطلاعاتی، نرم‌افزار، سخت‌افزار، ابر و داده‌های بحرانی و اولویت‌بندی آن‌ها</t>
  </si>
  <si>
    <t xml:space="preserve">Up-to-date inventory of information assets, software, hardware, cloud services and critical data, and their prioritization</t>
  </si>
  <si>
    <t xml:space="preserve">NIST CSF 2.0: ID.AM | ISO/IEC 27001:2022: Annex A 5.9 | AICPA TSC: CC3, CC6 | ISA 315 (IT environment)</t>
  </si>
  <si>
    <t xml:space="preserve">Hermanson et al. (2000) [safeguarding of assets as a traditional IT risk]; Wangen et al. (2018) [completeness of risk identification]</t>
  </si>
  <si>
    <t xml:space="preserve">C05</t>
  </si>
  <si>
    <t xml:space="preserve">شناسایی تهدید و اطلاعات تهدید</t>
  </si>
  <si>
    <t xml:space="preserve">Threat identification and threat intelligence</t>
  </si>
  <si>
    <t xml:space="preserve">شناسایی تهدیدها و عوامل تهدید داخلی و خارجی</t>
  </si>
  <si>
    <t xml:space="preserve">Identifying internal and external threats and threat actors</t>
  </si>
  <si>
    <t xml:space="preserve">NIST CSF 2.0: ID.RA, DE.AE | ISO/IEC 27001:2022: Annex A 5.7 | ISO/IEC 27005:2022 (risk scenarios) | AICPA TSC: CC3, CC7</t>
  </si>
  <si>
    <t xml:space="preserve">Ganin et al. (2020) [threat in the assessment triplet]; Wang et al. (2020) [threat events in FAIR-based model]</t>
  </si>
  <si>
    <t xml:space="preserve">C06</t>
  </si>
  <si>
    <t xml:space="preserve">مدیریت آسیب‌پذیری و آزمون نفوذ</t>
  </si>
  <si>
    <t xml:space="preserve">Vulnerability management and penetration testing</t>
  </si>
  <si>
    <t xml:space="preserve">ارزیابی آسیب‌پذیری، تست نفوذ و تمرین تیم قرمز</t>
  </si>
  <si>
    <t xml:space="preserve">Vulnerability assessment, penetration testing and red-team exercises</t>
  </si>
  <si>
    <t xml:space="preserve">NIST CSF 2.0: ID.RA, PR.PS | ISO/IEC 27001:2022: Annex A technological controls | AICPA TSC: CC7 | ISA 330</t>
  </si>
  <si>
    <t xml:space="preserve">Ganin et al. (2020) [vulnerability in the assessment triplet]; Wang et al. (2020) [vulnerability in FAIR-based model]</t>
  </si>
  <si>
    <t xml:space="preserve">C07</t>
  </si>
  <si>
    <t xml:space="preserve">تحلیل و ارزیابی ریسک (احتمال، اثر، رتبه‌بندی)</t>
  </si>
  <si>
    <t xml:space="preserve">Risk analysis and evaluation (likelihood, impact, ranking)</t>
  </si>
  <si>
    <t xml:space="preserve">RRJ</t>
  </si>
  <si>
    <t xml:space="preserve">تحلیل احتمال و اثر، رتبه‌بندی و اولویت‌بندی ریسک‌های شناسایی‌شده</t>
  </si>
  <si>
    <t xml:space="preserve">Analyzing likelihood and impact, and ranking and prioritizing identified risks</t>
  </si>
  <si>
    <t xml:space="preserve">NIST CSF 2.0: GV.RM, ID.RA; SP 800-30 Rev. 1 | ISO/IEC 27001:2022: cl. 6.1.2, 8.2 | ISO/IEC 27005:2022; IEC/ISO 31010 | AICPA TSC: CC3 | ISA 315</t>
  </si>
  <si>
    <t xml:space="preserve">Wangen et al. (2018) [estimation and evaluation coverage]; Ganin et al. (2020) [decision-analytic evaluation]; Wang et al. (2020) [probabilistic estimation]; Gordon &amp; Loeb (2002) [prioritization by expected loss]</t>
  </si>
  <si>
    <t xml:space="preserve">C08</t>
  </si>
  <si>
    <t xml:space="preserve">ریسک تقلب سایبری و تغییرات محیط</t>
  </si>
  <si>
    <t xml:space="preserve">Cyber fraud risk and environmental change</t>
  </si>
  <si>
    <t xml:space="preserve">ارزیابی ریسک تقلب و اثر تغییرات سازمانی/فناورانه بر ریسک</t>
  </si>
  <si>
    <t xml:space="preserve">Assessing fraud risk and the effect of organizational or technological change on risk</t>
  </si>
  <si>
    <t xml:space="preserve">NIST CSF 2.0: ID.IM, GV.RM | ISO 31000:2018 | AICPA TSC: CC3 (fraud risk, changes) | ISA 240</t>
  </si>
  <si>
    <t xml:space="preserve">Armenia et al. (2021) [organizational change and dynamics]</t>
  </si>
  <si>
    <t xml:space="preserve">C09</t>
  </si>
  <si>
    <t xml:space="preserve">اجرای کنترل‌ها و برنامه برطرف‌سازی ریسک</t>
  </si>
  <si>
    <t xml:space="preserve">Control implementation and risk treatment plan</t>
  </si>
  <si>
    <t xml:space="preserve">۳. کنترل و کاهش ریسک</t>
  </si>
  <si>
    <t xml:space="preserve">CCE</t>
  </si>
  <si>
    <t xml:space="preserve">انتخاب و اجرای کنترل‌ها، بیانیه کاربست‌پذیری و پذیرش ریسک باقیمانده</t>
  </si>
  <si>
    <t xml:space="preserve">Selecting and implementing controls, statement of applicability and acceptance of residual risk</t>
  </si>
  <si>
    <t xml:space="preserve">NIST CSF 2.0: GV.RM, PR | ISO/IEC 27001:2022: cl. 6.1.3, 8.3 | ISO/IEC 27005:2022 (risk treatment) | AICPA TSC: CC5 | ISA 315, 330</t>
  </si>
  <si>
    <t xml:space="preserve">Gordon &amp; Loeb (2002) [investment in protection]; Ganin et al. (2020) [ranking of countermeasures]; Armenia et al. (2021) [evaluating security investments]</t>
  </si>
  <si>
    <t xml:space="preserve">C10</t>
  </si>
  <si>
    <t xml:space="preserve">کنترل دسترسی و احراز هویت</t>
  </si>
  <si>
    <t xml:space="preserve">Access control and authentication</t>
  </si>
  <si>
    <t xml:space="preserve">مدیریت هویت، دسترسی‌ها، امتیازات و احراز هویت چندعاملی</t>
  </si>
  <si>
    <t xml:space="preserve">Identity management, access rights, privileges and multi-factor authentication</t>
  </si>
  <si>
    <t xml:space="preserve">NIST CSF 2.0: PR.AA | ISO/IEC 27001:2022: Annex A access control | AICPA TSC: CC6 | ITGC (ISA 315, 330)</t>
  </si>
  <si>
    <t xml:space="preserve">C11</t>
  </si>
  <si>
    <t xml:space="preserve">حفاظت از داده و رمزنگاری</t>
  </si>
  <si>
    <t xml:space="preserve">Data protection and cryptography</t>
  </si>
  <si>
    <t xml:space="preserve">طبقه‌بندی، رمزنگاری، پشتیبان‌گیری و کنترل انتقال داده</t>
  </si>
  <si>
    <t xml:space="preserve">Data classification, encryption, backup and control of data transmission</t>
  </si>
  <si>
    <t xml:space="preserve">NIST CSF 2.0: PR.DS | ISO/IEC 27001:2022: Annex A cryptography, data protection | AICPA TSC: CC6, C1</t>
  </si>
  <si>
    <t xml:space="preserve">Hermanson et al. (2000) [data integrity, privacy and security as traditional IT risks]</t>
  </si>
  <si>
    <t xml:space="preserve">C12</t>
  </si>
  <si>
    <t xml:space="preserve">امنیت شبکه، زیرساخت و محیط فیزیکی</t>
  </si>
  <si>
    <t xml:space="preserve">Network, infrastructure and physical security</t>
  </si>
  <si>
    <t xml:space="preserve">کنترل‌های شبکه، تجهیزات، مراکز داده و امنیت فیزیکی</t>
  </si>
  <si>
    <t xml:space="preserve">Network controls, equipment, data centers and physical security</t>
  </si>
  <si>
    <t xml:space="preserve">NIST CSF 2.0: PR.IR, PR.PS | ISO/IEC 27001:2022: Annex A physical and technological controls | ISO/IEC 27033 | AICPA TSC: CC6</t>
  </si>
  <si>
    <t xml:space="preserve">C13</t>
  </si>
  <si>
    <t xml:space="preserve">توسعه امن و مدیریت تغییرات</t>
  </si>
  <si>
    <t xml:space="preserve">Secure development and change management</t>
  </si>
  <si>
    <t xml:space="preserve">رویه‌های کنترل تغییر، توسعه امن و آزمون پذیرش</t>
  </si>
  <si>
    <t xml:space="preserve">Change-control procedures, secure development and acceptance testing</t>
  </si>
  <si>
    <t xml:space="preserve">NIST CSF 2.0: PR.PS | ISO/IEC 27001:2022: Annex A secure development, change management | AICPA TSC: CC8 | ITGC (program change)</t>
  </si>
  <si>
    <t xml:space="preserve">Hermanson et al. (2000) [system development and acquisition receive less attention]</t>
  </si>
  <si>
    <t xml:space="preserve">C14</t>
  </si>
  <si>
    <t xml:space="preserve">آگاهی و آموزش امنیتی</t>
  </si>
  <si>
    <t xml:space="preserve">Security awareness and training</t>
  </si>
  <si>
    <t xml:space="preserve">آموزش کارکنان، کمپین آگاهی و ارزیابی مهندسی اجتماعی/فیشینگ</t>
  </si>
  <si>
    <t xml:space="preserve">Employee training, awareness campaigns and social-engineering/phishing assessments</t>
  </si>
  <si>
    <t xml:space="preserve">NIST CSF 2.0: PR.AT | ISO/IEC 27001:2022: cl. 7.3; Annex A people controls | AICPA TSC: CC1, CC2</t>
  </si>
  <si>
    <t xml:space="preserve">C15</t>
  </si>
  <si>
    <t xml:space="preserve">ریسک شخص ثالث و زنجیره تأمین</t>
  </si>
  <si>
    <t xml:space="preserve">Third-party and supply chain risk</t>
  </si>
  <si>
    <t xml:space="preserve">ارزیابی ارائه‌دهندگان خدمات، قراردادها و پایش مستمر</t>
  </si>
  <si>
    <t xml:space="preserve">Assessing service providers, contracts and continuous monitoring</t>
  </si>
  <si>
    <t xml:space="preserve">NIST CSF 2.0: GV.SC | ISO/IEC 27001:2022: Annex A 5.19–5.23 | ISO/IEC 27036 | AICPA TSC: CC9 | ISA 402</t>
  </si>
  <si>
    <t xml:space="preserve">C16</t>
  </si>
  <si>
    <t xml:space="preserve">پایش مستمر و ثبت وقایع</t>
  </si>
  <si>
    <t xml:space="preserve">Continuous monitoring and logging</t>
  </si>
  <si>
    <t xml:space="preserve">۴. پایش و پاسخ</t>
  </si>
  <si>
    <t xml:space="preserve">MOL</t>
  </si>
  <si>
    <t xml:space="preserve">ثبت و تحلیل لاگ‌ها، SIEM و کشف ناهنجاری</t>
  </si>
  <si>
    <t xml:space="preserve">Log collection and analysis, SIEM and anomaly detection</t>
  </si>
  <si>
    <t xml:space="preserve">NIST CSF 2.0: DE.CM, DE.AE | ISO/IEC 27001:2022: cl. 9.1; Annex A 8.16 | AICPA TSC: CC4, CC7 | ISA 500</t>
  </si>
  <si>
    <t xml:space="preserve">Armenia et al. (2021) [static versus dynamic view of posture]</t>
  </si>
  <si>
    <t xml:space="preserve">C17</t>
  </si>
  <si>
    <t xml:space="preserve">مدیریت و پاسخ به حوادث</t>
  </si>
  <si>
    <t xml:space="preserve">Incident management and response</t>
  </si>
  <si>
    <t xml:space="preserve">طرح پاسخ، آزمون طرح، مهار، تحلیل و ارتباطات</t>
  </si>
  <si>
    <t xml:space="preserve">Response plan, plan testing, containment, analysis and communication</t>
  </si>
  <si>
    <t xml:space="preserve">NIST CSF 2.0: RS.MA, RS.AN, RS.CO, RS.MI; SP 800-61 Rev. 3 | ISO/IEC 27001:2022: Annex A 5.24 | AICPA TSC: CC7</t>
  </si>
  <si>
    <t xml:space="preserve">Higgs et al. (2016) [ability to detect and respond to breaches]</t>
  </si>
  <si>
    <t xml:space="preserve">C18</t>
  </si>
  <si>
    <t xml:space="preserve">تداوم کسب‌وکار و بازیابی از بحران</t>
  </si>
  <si>
    <t xml:space="preserve">Business continuity and disaster recovery</t>
  </si>
  <si>
    <t xml:space="preserve">طرح تداوم، آمادگی ICT و آزمون بازیابی</t>
  </si>
  <si>
    <t xml:space="preserve">Continuity plan, ICT readiness and recovery testing</t>
  </si>
  <si>
    <t xml:space="preserve">NIST CSF 2.0: RC.RP, RC.CO | ISO/IEC 27001:2022: Annex A 5.29, 5.30 | ISO/IEC 27031; ISO 22301 | AICPA TSC: CC9, A1 | ISA 570</t>
  </si>
  <si>
    <t xml:space="preserve">C19</t>
  </si>
  <si>
    <t xml:space="preserve">انطباق با الزامات قانونی و حریم خصوصی</t>
  </si>
  <si>
    <t xml:space="preserve">Legal and regulatory compliance and privacy</t>
  </si>
  <si>
    <t xml:space="preserve">۵. انطباق، بهبود و گزارشگری</t>
  </si>
  <si>
    <t xml:space="preserve">رعایت قوانین/مقررات ملی و صنعتی؛ ارزیابی اثر حریم خصوصی</t>
  </si>
  <si>
    <t xml:space="preserve">Compliance with national and industry laws and regulations; privacy impact assessment</t>
  </si>
  <si>
    <t xml:space="preserve">NIST CSF 2.0: GV.OC | ISO/IEC 27001:2022: Annex A legal and privacy controls | ISO/IEC 29134 | AICPA TSC: privacy series | ISA 250</t>
  </si>
  <si>
    <t xml:space="preserve">Vuko et al. (2024) [institutional drivers of cybersecurity audit effectiveness]</t>
  </si>
  <si>
    <t xml:space="preserve">C20</t>
  </si>
  <si>
    <t xml:space="preserve">بهبود مستمر و ارزیابی اثربخشی</t>
  </si>
  <si>
    <t xml:space="preserve">Continual improvement and effectiveness evaluation</t>
  </si>
  <si>
    <t xml:space="preserve">ممیزی داخلی، بازنگری مدیریت و بهبود مستمر</t>
  </si>
  <si>
    <t xml:space="preserve">Internal audit, management review and continual improvement</t>
  </si>
  <si>
    <t xml:space="preserve">NIST CSF 2.0: ID.IM | ISO/IEC 27001:2022: cl. 9.2, 9.3, 10 | ISO 31000:2018 | AICPA TSC: CC4 | IIA GIAS 2024</t>
  </si>
  <si>
    <t xml:space="preserve">Slapničar et al. (2022) [effectiveness index and maturity]; Armenia et al. (2021) [continuous re-evaluation]</t>
  </si>
  <si>
    <t xml:space="preserve">C21</t>
  </si>
  <si>
    <t xml:space="preserve">مستندسازی و گزارشگری ریسک</t>
  </si>
  <si>
    <t xml:space="preserve">Documentation and risk reporting</t>
  </si>
  <si>
    <t xml:space="preserve">PEF</t>
  </si>
  <si>
    <t xml:space="preserve">ثبت یافته‌ها و گزارش به مدیریت و ذینفعان</t>
  </si>
  <si>
    <t xml:space="preserve">Recording findings and reporting to management and stakeholders</t>
  </si>
  <si>
    <t xml:space="preserve">NIST CSF 2.0: GV.OV | ISO/IEC 27001:2022: cl. 7.5, 9.3 | AICPA TSC: CC2; DC section 100 | ISA 260, 265</t>
  </si>
  <si>
    <t xml:space="preserve">Slapničar et al. (2022) [reporting to the board]; Sari et al. (2023) [cyber risk management disclosure]</t>
  </si>
  <si>
    <t xml:space="preserve">A01</t>
  </si>
  <si>
    <t xml:space="preserve">درک سازمان، محیط IT و سیستم اطلاعاتی</t>
  </si>
  <si>
    <t xml:space="preserve">Understanding the entity, its IT environment and information system</t>
  </si>
  <si>
    <t xml:space="preserve">حسابرس</t>
  </si>
  <si>
    <t xml:space="preserve">Auditor</t>
  </si>
  <si>
    <t xml:space="preserve">۶. فرایند حسابرسی ریسک سایبری</t>
  </si>
  <si>
    <t xml:space="preserve">کسب درک از فناوری، سیستم‌های مالی و وابستگی کسب‌وکار به IT</t>
  </si>
  <si>
    <t xml:space="preserve">Obtaining an understanding of technology, financial systems and the entity's dependence on IT</t>
  </si>
  <si>
    <t xml:space="preserve">ISA 315 (Revised 2019); AU-C 315; PCAOB AS 2110</t>
  </si>
  <si>
    <t xml:space="preserve">Hermanson et al. (2000) [IT activities of internal auditors]; Bedard et al. (2005) [information systems risk in audit planning]</t>
  </si>
  <si>
    <t xml:space="preserve">A02</t>
  </si>
  <si>
    <t xml:space="preserve">ارزیابی اثر ریسک سایبری بر ریسک تحریف با اهمیت</t>
  </si>
  <si>
    <t xml:space="preserve">Assessing the effect of cyber risk on the risks of material misstatement</t>
  </si>
  <si>
    <t xml:space="preserve">اتصال ریسک سایبری به ادعاهای صورت‌های مالی و ریسک‌های ذاتی</t>
  </si>
  <si>
    <t xml:space="preserve">Linking cyber risk to financial-statement assertions and inherent risks</t>
  </si>
  <si>
    <t xml:space="preserve">ISA 315 (Revised 2019); ISA 240; ISA 450</t>
  </si>
  <si>
    <t xml:space="preserve">Bedard et al. (2005) [IS risk and audit planning]; Li et al. (2020) [auditors' response to cyber incidents through fees]</t>
  </si>
  <si>
    <t xml:space="preserve">A03</t>
  </si>
  <si>
    <t xml:space="preserve">ارزیابی طراحی و اثربخشی کنترل‌های عمومی IT</t>
  </si>
  <si>
    <t xml:space="preserve">Evaluating the design and effectiveness of IT general controls</t>
  </si>
  <si>
    <t xml:space="preserve">آزمون طراحی/اجرای ITGC و تعیین اتکا به کنترل‌ها</t>
  </si>
  <si>
    <t xml:space="preserve">Testing design and implementation of ITGCs and determining reliance on controls</t>
  </si>
  <si>
    <t xml:space="preserve">ISA 315; ISA 330; PCAOB AS 2201 (ITGC)</t>
  </si>
  <si>
    <t xml:space="preserve">Hermanson et al. (2000) [application processing and data integrity]; Slapničar et al. (2022) [performing stage]</t>
  </si>
  <si>
    <t xml:space="preserve">A04</t>
  </si>
  <si>
    <t xml:space="preserve">کفایت و قابلیت اتکای شواهد الکترونیکی</t>
  </si>
  <si>
    <t xml:space="preserve">Sufficiency and reliability of electronic audit evidence</t>
  </si>
  <si>
    <t xml:space="preserve">ارزیابی کفایت، مربوط‌بودن و یکپارچگی شواهد و داده‌ها</t>
  </si>
  <si>
    <t xml:space="preserve">Evaluating the sufficiency, relevance and integrity of evidence and data</t>
  </si>
  <si>
    <t xml:space="preserve">ISA 500; ISA 230</t>
  </si>
  <si>
    <t xml:space="preserve">A05</t>
  </si>
  <si>
    <t xml:space="preserve">اتکا به گزارش‌های سازمان خدماتی</t>
  </si>
  <si>
    <t xml:space="preserve">Reliance on service organization reports</t>
  </si>
  <si>
    <t xml:space="preserve">۷. اتکا، صلاحیت و گزارشگری حسابرس</t>
  </si>
  <si>
    <t xml:space="preserve">ارزیابی گزارش SOC 1 / SOC 2 / SOC for Cybersecurity</t>
  </si>
  <si>
    <t xml:space="preserve">Evaluating SOC 1, SOC 2 and SOC for Cybersecurity reports</t>
  </si>
  <si>
    <t xml:space="preserve">ISA 402; AICPA SOC 2 and SOC for Cybersecurity reports</t>
  </si>
  <si>
    <t xml:space="preserve">Kahyaoğlu &amp; Çalıyurt (2018) [AICPA framework within assurance process]</t>
  </si>
  <si>
    <t xml:space="preserve">A06</t>
  </si>
  <si>
    <t xml:space="preserve">شایستگی فنی حسابرس و استفاده از کارشناس</t>
  </si>
  <si>
    <t xml:space="preserve">Auditor's technical competence and use of experts</t>
  </si>
  <si>
    <t xml:space="preserve">مهارت سایبری حسابرس، به‌کارگیری کارشناس IT و کنترل کیفیت</t>
  </si>
  <si>
    <t xml:space="preserve">Auditor's cyber skills, use of IT experts and quality control</t>
  </si>
  <si>
    <t xml:space="preserve">ISA 620; ISA 220; ISQM 1; IIA GIAS 2024</t>
  </si>
  <si>
    <t xml:space="preserve">Islam et al. (2018) [characteristics of the internal audit function]; Steinbart et al. (2018) [internal audit–information security relationship]; Hermanson et al. (2000) [specialists and frequency of IT evaluations]</t>
  </si>
  <si>
    <t xml:space="preserve">A07</t>
  </si>
  <si>
    <t xml:space="preserve">ارزیابی اثر حوادث سایبری بر صورت‌های مالی و افشا</t>
  </si>
  <si>
    <t xml:space="preserve">Effect of cyber incidents on the financial statements and disclosure</t>
  </si>
  <si>
    <t xml:space="preserve">حادثه سایبری، رویدادهای پس از تاریخ ترازنامه، تداوم فعالیت و افشا</t>
  </si>
  <si>
    <t xml:space="preserve">Cyber incidents, subsequent events, going concern and disclosure</t>
  </si>
  <si>
    <t xml:space="preserve">ISA 450; ISA 560; ISA 570; ISA 250</t>
  </si>
  <si>
    <t xml:space="preserve">Li et al. (2020) [audit fee response to cyber incidents]; Sari et al. (2023) [disclosure of cyber risk management]</t>
  </si>
  <si>
    <t xml:space="preserve">A08</t>
  </si>
  <si>
    <t xml:space="preserve">ارتباط با راهبران و گزارش نقاط ضعف کنترلی</t>
  </si>
  <si>
    <t xml:space="preserve">Communication with those charged with governance and reporting of control deficiencies</t>
  </si>
  <si>
    <t xml:space="preserve">اطلاع‌رسانی ضعف‌های کنترلی سایبری به مدیریت و راهبران</t>
  </si>
  <si>
    <t xml:space="preserve">Reporting cyber-related control deficiencies to management and governance bodies</t>
  </si>
  <si>
    <t xml:space="preserve">ISA 260; ISA 265; IIA GIAS 2024</t>
  </si>
  <si>
    <t xml:space="preserve">Slapničar et al. (2022) [reporting to the board]; Islam et al. (2018) [audit committee]</t>
  </si>
  <si>
    <t xml:space="preserve">A09</t>
  </si>
  <si>
    <t xml:space="preserve">قضاوت و تردید حرفه‌ای در ریسک سایبری</t>
  </si>
  <si>
    <t xml:space="preserve">Professional judgment and skepticism in cyber risk</t>
  </si>
  <si>
    <t xml:space="preserve">اعمال قضاوت حرفه‌ای در ارزیابی ریسک سایبری و تردید حرفه‌ای</t>
  </si>
  <si>
    <t xml:space="preserve">Exercising professional judgment and skepticism when assessing cyber risk</t>
  </si>
  <si>
    <t xml:space="preserve">ISA 200</t>
  </si>
  <si>
    <t xml:space="preserve">تعداد کل مولفه‌ها</t>
  </si>
  <si>
    <t xml:space="preserve">دیدگاه سازمان</t>
  </si>
  <si>
    <t xml:space="preserve">دیدگاه حسابرس</t>
  </si>
  <si>
    <t xml:space="preserve">استانداردها + پژوهش (S+R)</t>
  </si>
  <si>
    <t xml:space="preserve">فقط استانداردها (S)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</si>
</sst>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44"/>
    <col collapsed="false" customWidth="true" hidden="false" outlineLevel="0" max="10" min="10" style="0" width="60"/>
    <col collapsed="false" customWidth="true" hidden="false" outlineLevel="0" max="11" min="11" style="0" width="56"/>
    <col collapsed="false" customWidth="true" hidden="false" outlineLevel="0" max="12" min="12" style="0" width="9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3.75" hidden="false" customHeight="true" outlineLevel="0" collapsed="false">
      <c r="A2" s="2" t="s">
        <v>12</v>
      </c>
      <c r="B2" s="3" t="s">
        <v>13</v>
      </c>
      <c r="C2" s="2" t="s">
        <v>14</v>
      </c>
      <c r="D2" s="4" t="s">
        <v>15</v>
      </c>
      <c r="E2" s="2" t="s">
        <v>16</v>
      </c>
      <c r="F2" s="3" t="s">
        <v>17</v>
      </c>
      <c r="G2" s="2" t="s">
        <v>18</v>
      </c>
      <c r="H2" s="3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63.75" hidden="false" customHeight="true" outlineLevel="0" collapsed="false">
      <c r="A3" s="2" t="s">
        <v>24</v>
      </c>
      <c r="B3" s="3" t="s">
        <v>25</v>
      </c>
      <c r="C3" s="2" t="s">
        <v>26</v>
      </c>
      <c r="D3" s="4" t="s">
        <v>15</v>
      </c>
      <c r="E3" s="2" t="s">
        <v>16</v>
      </c>
      <c r="F3" s="3" t="s">
        <v>17</v>
      </c>
      <c r="G3" s="2" t="s">
        <v>27</v>
      </c>
      <c r="H3" s="3" t="s">
        <v>28</v>
      </c>
      <c r="I3" s="2" t="s">
        <v>29</v>
      </c>
      <c r="J3" s="2" t="s">
        <v>30</v>
      </c>
      <c r="K3" s="2" t="s">
        <v>31</v>
      </c>
      <c r="L3" s="2" t="s">
        <v>32</v>
      </c>
    </row>
    <row r="4" customFormat="false" ht="63.75" hidden="false" customHeight="true" outlineLevel="0" collapsed="false">
      <c r="A4" s="2" t="s">
        <v>33</v>
      </c>
      <c r="B4" s="3" t="s">
        <v>34</v>
      </c>
      <c r="C4" s="2" t="s">
        <v>35</v>
      </c>
      <c r="D4" s="5" t="s">
        <v>36</v>
      </c>
      <c r="E4" s="2" t="s">
        <v>37</v>
      </c>
      <c r="F4" s="3" t="s">
        <v>17</v>
      </c>
      <c r="G4" s="2" t="s">
        <v>27</v>
      </c>
      <c r="H4" s="3" t="s">
        <v>38</v>
      </c>
      <c r="I4" s="2" t="s">
        <v>39</v>
      </c>
      <c r="J4" s="2" t="s">
        <v>40</v>
      </c>
      <c r="K4" s="2" t="s">
        <v>31</v>
      </c>
      <c r="L4" s="2" t="s">
        <v>32</v>
      </c>
    </row>
    <row r="5" customFormat="false" ht="63.75" hidden="false" customHeight="true" outlineLevel="0" collapsed="false">
      <c r="A5" s="2" t="s">
        <v>41</v>
      </c>
      <c r="B5" s="3" t="s">
        <v>42</v>
      </c>
      <c r="C5" s="2" t="s">
        <v>43</v>
      </c>
      <c r="D5" s="5" t="s">
        <v>36</v>
      </c>
      <c r="E5" s="2" t="s">
        <v>37</v>
      </c>
      <c r="F5" s="3" t="s">
        <v>44</v>
      </c>
      <c r="G5" s="2" t="s">
        <v>45</v>
      </c>
      <c r="H5" s="3" t="s">
        <v>46</v>
      </c>
      <c r="I5" s="2" t="s">
        <v>47</v>
      </c>
      <c r="J5" s="2" t="s">
        <v>48</v>
      </c>
      <c r="K5" s="2" t="s">
        <v>49</v>
      </c>
      <c r="L5" s="2" t="s">
        <v>23</v>
      </c>
    </row>
    <row r="6" customFormat="false" ht="63.75" hidden="false" customHeight="true" outlineLevel="0" collapsed="false">
      <c r="A6" s="2" t="s">
        <v>50</v>
      </c>
      <c r="B6" s="3" t="s">
        <v>51</v>
      </c>
      <c r="C6" s="2" t="s">
        <v>52</v>
      </c>
      <c r="D6" s="4" t="s">
        <v>15</v>
      </c>
      <c r="E6" s="2" t="s">
        <v>16</v>
      </c>
      <c r="F6" s="3" t="s">
        <v>44</v>
      </c>
      <c r="G6" s="2" t="s">
        <v>45</v>
      </c>
      <c r="H6" s="3" t="s">
        <v>53</v>
      </c>
      <c r="I6" s="2" t="s">
        <v>54</v>
      </c>
      <c r="J6" s="2" t="s">
        <v>55</v>
      </c>
      <c r="K6" s="2" t="s">
        <v>56</v>
      </c>
      <c r="L6" s="2" t="s">
        <v>23</v>
      </c>
    </row>
    <row r="7" customFormat="false" ht="63.75" hidden="false" customHeight="true" outlineLevel="0" collapsed="false">
      <c r="A7" s="2" t="s">
        <v>57</v>
      </c>
      <c r="B7" s="3" t="s">
        <v>58</v>
      </c>
      <c r="C7" s="2" t="s">
        <v>59</v>
      </c>
      <c r="D7" s="4" t="s">
        <v>15</v>
      </c>
      <c r="E7" s="2" t="s">
        <v>16</v>
      </c>
      <c r="F7" s="3" t="s">
        <v>44</v>
      </c>
      <c r="G7" s="2" t="s">
        <v>45</v>
      </c>
      <c r="H7" s="3" t="s">
        <v>60</v>
      </c>
      <c r="I7" s="2" t="s">
        <v>61</v>
      </c>
      <c r="J7" s="2" t="s">
        <v>62</v>
      </c>
      <c r="K7" s="2" t="s">
        <v>63</v>
      </c>
      <c r="L7" s="2" t="s">
        <v>23</v>
      </c>
    </row>
    <row r="8" customFormat="false" ht="63.75" hidden="false" customHeight="true" outlineLevel="0" collapsed="false">
      <c r="A8" s="2" t="s">
        <v>64</v>
      </c>
      <c r="B8" s="3" t="s">
        <v>65</v>
      </c>
      <c r="C8" s="2" t="s">
        <v>66</v>
      </c>
      <c r="D8" s="5" t="s">
        <v>36</v>
      </c>
      <c r="E8" s="2" t="s">
        <v>37</v>
      </c>
      <c r="F8" s="3" t="s">
        <v>44</v>
      </c>
      <c r="G8" s="2" t="s">
        <v>67</v>
      </c>
      <c r="H8" s="3" t="s">
        <v>68</v>
      </c>
      <c r="I8" s="2" t="s">
        <v>69</v>
      </c>
      <c r="J8" s="2" t="s">
        <v>70</v>
      </c>
      <c r="K8" s="2" t="s">
        <v>71</v>
      </c>
      <c r="L8" s="2" t="s">
        <v>23</v>
      </c>
    </row>
    <row r="9" customFormat="false" ht="63.75" hidden="false" customHeight="true" outlineLevel="0" collapsed="false">
      <c r="A9" s="2" t="s">
        <v>72</v>
      </c>
      <c r="B9" s="3" t="s">
        <v>73</v>
      </c>
      <c r="C9" s="2" t="s">
        <v>74</v>
      </c>
      <c r="D9" s="5" t="s">
        <v>36</v>
      </c>
      <c r="E9" s="2" t="s">
        <v>37</v>
      </c>
      <c r="F9" s="3" t="s">
        <v>44</v>
      </c>
      <c r="G9" s="2" t="s">
        <v>67</v>
      </c>
      <c r="H9" s="3" t="s">
        <v>75</v>
      </c>
      <c r="I9" s="2" t="s">
        <v>76</v>
      </c>
      <c r="J9" s="2" t="s">
        <v>77</v>
      </c>
      <c r="K9" s="2" t="s">
        <v>78</v>
      </c>
      <c r="L9" s="2" t="s">
        <v>23</v>
      </c>
    </row>
    <row r="10" customFormat="false" ht="63.75" hidden="false" customHeight="true" outlineLevel="0" collapsed="false">
      <c r="A10" s="2" t="s">
        <v>79</v>
      </c>
      <c r="B10" s="3" t="s">
        <v>80</v>
      </c>
      <c r="C10" s="2" t="s">
        <v>81</v>
      </c>
      <c r="D10" s="4" t="s">
        <v>15</v>
      </c>
      <c r="E10" s="2" t="s">
        <v>16</v>
      </c>
      <c r="F10" s="3" t="s">
        <v>82</v>
      </c>
      <c r="G10" s="2" t="s">
        <v>83</v>
      </c>
      <c r="H10" s="3" t="s">
        <v>84</v>
      </c>
      <c r="I10" s="2" t="s">
        <v>85</v>
      </c>
      <c r="J10" s="2" t="s">
        <v>86</v>
      </c>
      <c r="K10" s="2" t="s">
        <v>87</v>
      </c>
      <c r="L10" s="2" t="s">
        <v>23</v>
      </c>
    </row>
    <row r="11" customFormat="false" ht="63.75" hidden="false" customHeight="true" outlineLevel="0" collapsed="false">
      <c r="A11" s="2" t="s">
        <v>88</v>
      </c>
      <c r="B11" s="3" t="s">
        <v>89</v>
      </c>
      <c r="C11" s="2" t="s">
        <v>90</v>
      </c>
      <c r="D11" s="4" t="s">
        <v>15</v>
      </c>
      <c r="E11" s="2" t="s">
        <v>16</v>
      </c>
      <c r="F11" s="3" t="s">
        <v>82</v>
      </c>
      <c r="G11" s="2" t="s">
        <v>83</v>
      </c>
      <c r="H11" s="3" t="s">
        <v>91</v>
      </c>
      <c r="I11" s="2" t="s">
        <v>92</v>
      </c>
      <c r="J11" s="2" t="s">
        <v>93</v>
      </c>
      <c r="K11" s="2" t="s">
        <v>31</v>
      </c>
      <c r="L11" s="2" t="s">
        <v>32</v>
      </c>
    </row>
    <row r="12" customFormat="false" ht="63.75" hidden="false" customHeight="true" outlineLevel="0" collapsed="false">
      <c r="A12" s="2" t="s">
        <v>94</v>
      </c>
      <c r="B12" s="3" t="s">
        <v>95</v>
      </c>
      <c r="C12" s="2" t="s">
        <v>96</v>
      </c>
      <c r="D12" s="4" t="s">
        <v>15</v>
      </c>
      <c r="E12" s="2" t="s">
        <v>16</v>
      </c>
      <c r="F12" s="3" t="s">
        <v>82</v>
      </c>
      <c r="G12" s="2" t="s">
        <v>83</v>
      </c>
      <c r="H12" s="3" t="s">
        <v>97</v>
      </c>
      <c r="I12" s="2" t="s">
        <v>98</v>
      </c>
      <c r="J12" s="2" t="s">
        <v>99</v>
      </c>
      <c r="K12" s="2" t="s">
        <v>100</v>
      </c>
      <c r="L12" s="2" t="s">
        <v>23</v>
      </c>
    </row>
    <row r="13" customFormat="false" ht="63.75" hidden="false" customHeight="true" outlineLevel="0" collapsed="false">
      <c r="A13" s="2" t="s">
        <v>101</v>
      </c>
      <c r="B13" s="3" t="s">
        <v>102</v>
      </c>
      <c r="C13" s="2" t="s">
        <v>103</v>
      </c>
      <c r="D13" s="4" t="s">
        <v>15</v>
      </c>
      <c r="E13" s="2" t="s">
        <v>16</v>
      </c>
      <c r="F13" s="3" t="s">
        <v>82</v>
      </c>
      <c r="G13" s="2" t="s">
        <v>83</v>
      </c>
      <c r="H13" s="3" t="s">
        <v>104</v>
      </c>
      <c r="I13" s="2" t="s">
        <v>105</v>
      </c>
      <c r="J13" s="2" t="s">
        <v>106</v>
      </c>
      <c r="K13" s="2" t="s">
        <v>31</v>
      </c>
      <c r="L13" s="2" t="s">
        <v>32</v>
      </c>
    </row>
    <row r="14" customFormat="false" ht="63.75" hidden="false" customHeight="true" outlineLevel="0" collapsed="false">
      <c r="A14" s="2" t="s">
        <v>107</v>
      </c>
      <c r="B14" s="3" t="s">
        <v>108</v>
      </c>
      <c r="C14" s="2" t="s">
        <v>109</v>
      </c>
      <c r="D14" s="4" t="s">
        <v>15</v>
      </c>
      <c r="E14" s="2" t="s">
        <v>16</v>
      </c>
      <c r="F14" s="3" t="s">
        <v>82</v>
      </c>
      <c r="G14" s="2" t="s">
        <v>83</v>
      </c>
      <c r="H14" s="3" t="s">
        <v>110</v>
      </c>
      <c r="I14" s="2" t="s">
        <v>111</v>
      </c>
      <c r="J14" s="2" t="s">
        <v>112</v>
      </c>
      <c r="K14" s="2" t="s">
        <v>113</v>
      </c>
      <c r="L14" s="2" t="s">
        <v>23</v>
      </c>
    </row>
    <row r="15" customFormat="false" ht="63.75" hidden="false" customHeight="true" outlineLevel="0" collapsed="false">
      <c r="A15" s="2" t="s">
        <v>114</v>
      </c>
      <c r="B15" s="3" t="s">
        <v>115</v>
      </c>
      <c r="C15" s="2" t="s">
        <v>116</v>
      </c>
      <c r="D15" s="4" t="s">
        <v>15</v>
      </c>
      <c r="E15" s="2" t="s">
        <v>16</v>
      </c>
      <c r="F15" s="3" t="s">
        <v>82</v>
      </c>
      <c r="G15" s="2" t="s">
        <v>83</v>
      </c>
      <c r="H15" s="3" t="s">
        <v>117</v>
      </c>
      <c r="I15" s="2" t="s">
        <v>118</v>
      </c>
      <c r="J15" s="2" t="s">
        <v>119</v>
      </c>
      <c r="K15" s="2" t="s">
        <v>31</v>
      </c>
      <c r="L15" s="2" t="s">
        <v>32</v>
      </c>
    </row>
    <row r="16" customFormat="false" ht="63.75" hidden="false" customHeight="true" outlineLevel="0" collapsed="false">
      <c r="A16" s="2" t="s">
        <v>120</v>
      </c>
      <c r="B16" s="3" t="s">
        <v>121</v>
      </c>
      <c r="C16" s="2" t="s">
        <v>122</v>
      </c>
      <c r="D16" s="5" t="s">
        <v>36</v>
      </c>
      <c r="E16" s="2" t="s">
        <v>37</v>
      </c>
      <c r="F16" s="3" t="s">
        <v>82</v>
      </c>
      <c r="G16" s="2" t="s">
        <v>83</v>
      </c>
      <c r="H16" s="3" t="s">
        <v>123</v>
      </c>
      <c r="I16" s="2" t="s">
        <v>124</v>
      </c>
      <c r="J16" s="2" t="s">
        <v>125</v>
      </c>
      <c r="K16" s="2" t="s">
        <v>31</v>
      </c>
      <c r="L16" s="2" t="s">
        <v>32</v>
      </c>
    </row>
    <row r="17" customFormat="false" ht="63.75" hidden="false" customHeight="true" outlineLevel="0" collapsed="false">
      <c r="A17" s="2" t="s">
        <v>126</v>
      </c>
      <c r="B17" s="3" t="s">
        <v>127</v>
      </c>
      <c r="C17" s="2" t="s">
        <v>128</v>
      </c>
      <c r="D17" s="5" t="s">
        <v>36</v>
      </c>
      <c r="E17" s="2" t="s">
        <v>37</v>
      </c>
      <c r="F17" s="3" t="s">
        <v>129</v>
      </c>
      <c r="G17" s="2" t="s">
        <v>130</v>
      </c>
      <c r="H17" s="3" t="s">
        <v>131</v>
      </c>
      <c r="I17" s="2" t="s">
        <v>132</v>
      </c>
      <c r="J17" s="2" t="s">
        <v>133</v>
      </c>
      <c r="K17" s="2" t="s">
        <v>134</v>
      </c>
      <c r="L17" s="2" t="s">
        <v>23</v>
      </c>
    </row>
    <row r="18" customFormat="false" ht="63.75" hidden="false" customHeight="true" outlineLevel="0" collapsed="false">
      <c r="A18" s="2" t="s">
        <v>135</v>
      </c>
      <c r="B18" s="3" t="s">
        <v>136</v>
      </c>
      <c r="C18" s="2" t="s">
        <v>137</v>
      </c>
      <c r="D18" s="4" t="s">
        <v>15</v>
      </c>
      <c r="E18" s="2" t="s">
        <v>16</v>
      </c>
      <c r="F18" s="3" t="s">
        <v>129</v>
      </c>
      <c r="G18" s="2" t="s">
        <v>130</v>
      </c>
      <c r="H18" s="3" t="s">
        <v>138</v>
      </c>
      <c r="I18" s="2" t="s">
        <v>139</v>
      </c>
      <c r="J18" s="2" t="s">
        <v>140</v>
      </c>
      <c r="K18" s="2" t="s">
        <v>141</v>
      </c>
      <c r="L18" s="2" t="s">
        <v>23</v>
      </c>
    </row>
    <row r="19" customFormat="false" ht="63.75" hidden="false" customHeight="true" outlineLevel="0" collapsed="false">
      <c r="A19" s="2" t="s">
        <v>142</v>
      </c>
      <c r="B19" s="3" t="s">
        <v>143</v>
      </c>
      <c r="C19" s="2" t="s">
        <v>144</v>
      </c>
      <c r="D19" s="5" t="s">
        <v>36</v>
      </c>
      <c r="E19" s="2" t="s">
        <v>37</v>
      </c>
      <c r="F19" s="3" t="s">
        <v>129</v>
      </c>
      <c r="G19" s="2" t="s">
        <v>130</v>
      </c>
      <c r="H19" s="3" t="s">
        <v>145</v>
      </c>
      <c r="I19" s="2" t="s">
        <v>146</v>
      </c>
      <c r="J19" s="2" t="s">
        <v>147</v>
      </c>
      <c r="K19" s="2" t="s">
        <v>31</v>
      </c>
      <c r="L19" s="2" t="s">
        <v>32</v>
      </c>
    </row>
    <row r="20" customFormat="false" ht="63.75" hidden="false" customHeight="true" outlineLevel="0" collapsed="false">
      <c r="A20" s="2" t="s">
        <v>148</v>
      </c>
      <c r="B20" s="3" t="s">
        <v>149</v>
      </c>
      <c r="C20" s="2" t="s">
        <v>150</v>
      </c>
      <c r="D20" s="5" t="s">
        <v>36</v>
      </c>
      <c r="E20" s="2" t="s">
        <v>37</v>
      </c>
      <c r="F20" s="3" t="s">
        <v>151</v>
      </c>
      <c r="G20" s="2" t="s">
        <v>27</v>
      </c>
      <c r="H20" s="3" t="s">
        <v>152</v>
      </c>
      <c r="I20" s="2" t="s">
        <v>153</v>
      </c>
      <c r="J20" s="2" t="s">
        <v>154</v>
      </c>
      <c r="K20" s="2" t="s">
        <v>155</v>
      </c>
      <c r="L20" s="2" t="s">
        <v>23</v>
      </c>
    </row>
    <row r="21" customFormat="false" ht="63.75" hidden="false" customHeight="true" outlineLevel="0" collapsed="false">
      <c r="A21" s="2" t="s">
        <v>156</v>
      </c>
      <c r="B21" s="3" t="s">
        <v>157</v>
      </c>
      <c r="C21" s="2" t="s">
        <v>158</v>
      </c>
      <c r="D21" s="4" t="s">
        <v>15</v>
      </c>
      <c r="E21" s="2" t="s">
        <v>16</v>
      </c>
      <c r="F21" s="3" t="s">
        <v>151</v>
      </c>
      <c r="G21" s="2" t="s">
        <v>130</v>
      </c>
      <c r="H21" s="3" t="s">
        <v>159</v>
      </c>
      <c r="I21" s="2" t="s">
        <v>160</v>
      </c>
      <c r="J21" s="2" t="s">
        <v>161</v>
      </c>
      <c r="K21" s="2" t="s">
        <v>162</v>
      </c>
      <c r="L21" s="2" t="s">
        <v>23</v>
      </c>
    </row>
    <row r="22" customFormat="false" ht="63.75" hidden="false" customHeight="true" outlineLevel="0" collapsed="false">
      <c r="A22" s="2" t="s">
        <v>163</v>
      </c>
      <c r="B22" s="3" t="s">
        <v>164</v>
      </c>
      <c r="C22" s="2" t="s">
        <v>165</v>
      </c>
      <c r="D22" s="5" t="s">
        <v>36</v>
      </c>
      <c r="E22" s="2" t="s">
        <v>37</v>
      </c>
      <c r="F22" s="3" t="s">
        <v>151</v>
      </c>
      <c r="G22" s="2" t="s">
        <v>166</v>
      </c>
      <c r="H22" s="3" t="s">
        <v>167</v>
      </c>
      <c r="I22" s="2" t="s">
        <v>168</v>
      </c>
      <c r="J22" s="2" t="s">
        <v>169</v>
      </c>
      <c r="K22" s="2" t="s">
        <v>170</v>
      </c>
      <c r="L22" s="2" t="s">
        <v>23</v>
      </c>
    </row>
    <row r="23" customFormat="false" ht="63.75" hidden="false" customHeight="true" outlineLevel="0" collapsed="false">
      <c r="A23" s="2" t="s">
        <v>171</v>
      </c>
      <c r="B23" s="3" t="s">
        <v>172</v>
      </c>
      <c r="C23" s="2" t="s">
        <v>173</v>
      </c>
      <c r="D23" s="6" t="s">
        <v>174</v>
      </c>
      <c r="E23" s="2" t="s">
        <v>175</v>
      </c>
      <c r="F23" s="3" t="s">
        <v>176</v>
      </c>
      <c r="G23" s="2" t="s">
        <v>45</v>
      </c>
      <c r="H23" s="3" t="s">
        <v>177</v>
      </c>
      <c r="I23" s="2" t="s">
        <v>178</v>
      </c>
      <c r="J23" s="2" t="s">
        <v>179</v>
      </c>
      <c r="K23" s="2" t="s">
        <v>180</v>
      </c>
      <c r="L23" s="2" t="s">
        <v>23</v>
      </c>
    </row>
    <row r="24" customFormat="false" ht="63.75" hidden="false" customHeight="true" outlineLevel="0" collapsed="false">
      <c r="A24" s="2" t="s">
        <v>181</v>
      </c>
      <c r="B24" s="3" t="s">
        <v>182</v>
      </c>
      <c r="C24" s="2" t="s">
        <v>183</v>
      </c>
      <c r="D24" s="6" t="s">
        <v>174</v>
      </c>
      <c r="E24" s="2" t="s">
        <v>175</v>
      </c>
      <c r="F24" s="3" t="s">
        <v>176</v>
      </c>
      <c r="G24" s="2" t="s">
        <v>67</v>
      </c>
      <c r="H24" s="3" t="s">
        <v>184</v>
      </c>
      <c r="I24" s="2" t="s">
        <v>185</v>
      </c>
      <c r="J24" s="2" t="s">
        <v>186</v>
      </c>
      <c r="K24" s="2" t="s">
        <v>187</v>
      </c>
      <c r="L24" s="2" t="s">
        <v>23</v>
      </c>
    </row>
    <row r="25" customFormat="false" ht="63.75" hidden="false" customHeight="true" outlineLevel="0" collapsed="false">
      <c r="A25" s="2" t="s">
        <v>188</v>
      </c>
      <c r="B25" s="3" t="s">
        <v>189</v>
      </c>
      <c r="C25" s="2" t="s">
        <v>190</v>
      </c>
      <c r="D25" s="6" t="s">
        <v>174</v>
      </c>
      <c r="E25" s="2" t="s">
        <v>175</v>
      </c>
      <c r="F25" s="3" t="s">
        <v>176</v>
      </c>
      <c r="G25" s="2" t="s">
        <v>83</v>
      </c>
      <c r="H25" s="3" t="s">
        <v>191</v>
      </c>
      <c r="I25" s="2" t="s">
        <v>192</v>
      </c>
      <c r="J25" s="2" t="s">
        <v>193</v>
      </c>
      <c r="K25" s="2" t="s">
        <v>194</v>
      </c>
      <c r="L25" s="2" t="s">
        <v>23</v>
      </c>
    </row>
    <row r="26" customFormat="false" ht="63.75" hidden="false" customHeight="true" outlineLevel="0" collapsed="false">
      <c r="A26" s="2" t="s">
        <v>195</v>
      </c>
      <c r="B26" s="3" t="s">
        <v>196</v>
      </c>
      <c r="C26" s="2" t="s">
        <v>197</v>
      </c>
      <c r="D26" s="6" t="s">
        <v>174</v>
      </c>
      <c r="E26" s="2" t="s">
        <v>175</v>
      </c>
      <c r="F26" s="3" t="s">
        <v>176</v>
      </c>
      <c r="G26" s="2" t="s">
        <v>83</v>
      </c>
      <c r="H26" s="3" t="s">
        <v>198</v>
      </c>
      <c r="I26" s="2" t="s">
        <v>199</v>
      </c>
      <c r="J26" s="2" t="s">
        <v>200</v>
      </c>
      <c r="K26" s="2" t="s">
        <v>31</v>
      </c>
      <c r="L26" s="2" t="s">
        <v>32</v>
      </c>
    </row>
    <row r="27" customFormat="false" ht="63.75" hidden="false" customHeight="true" outlineLevel="0" collapsed="false">
      <c r="A27" s="2" t="s">
        <v>201</v>
      </c>
      <c r="B27" s="3" t="s">
        <v>202</v>
      </c>
      <c r="C27" s="2" t="s">
        <v>203</v>
      </c>
      <c r="D27" s="6" t="s">
        <v>174</v>
      </c>
      <c r="E27" s="2" t="s">
        <v>175</v>
      </c>
      <c r="F27" s="3" t="s">
        <v>204</v>
      </c>
      <c r="G27" s="2" t="s">
        <v>18</v>
      </c>
      <c r="H27" s="3" t="s">
        <v>205</v>
      </c>
      <c r="I27" s="2" t="s">
        <v>206</v>
      </c>
      <c r="J27" s="2" t="s">
        <v>207</v>
      </c>
      <c r="K27" s="2" t="s">
        <v>208</v>
      </c>
      <c r="L27" s="2" t="s">
        <v>23</v>
      </c>
    </row>
    <row r="28" customFormat="false" ht="63.75" hidden="false" customHeight="true" outlineLevel="0" collapsed="false">
      <c r="A28" s="2" t="s">
        <v>209</v>
      </c>
      <c r="B28" s="3" t="s">
        <v>210</v>
      </c>
      <c r="C28" s="2" t="s">
        <v>211</v>
      </c>
      <c r="D28" s="6" t="s">
        <v>174</v>
      </c>
      <c r="E28" s="2" t="s">
        <v>175</v>
      </c>
      <c r="F28" s="3" t="s">
        <v>204</v>
      </c>
      <c r="G28" s="2" t="s">
        <v>18</v>
      </c>
      <c r="H28" s="3" t="s">
        <v>212</v>
      </c>
      <c r="I28" s="2" t="s">
        <v>213</v>
      </c>
      <c r="J28" s="2" t="s">
        <v>214</v>
      </c>
      <c r="K28" s="2" t="s">
        <v>215</v>
      </c>
      <c r="L28" s="2" t="s">
        <v>23</v>
      </c>
    </row>
    <row r="29" customFormat="false" ht="63.75" hidden="false" customHeight="true" outlineLevel="0" collapsed="false">
      <c r="A29" s="2" t="s">
        <v>216</v>
      </c>
      <c r="B29" s="3" t="s">
        <v>217</v>
      </c>
      <c r="C29" s="2" t="s">
        <v>218</v>
      </c>
      <c r="D29" s="6" t="s">
        <v>174</v>
      </c>
      <c r="E29" s="2" t="s">
        <v>175</v>
      </c>
      <c r="F29" s="3" t="s">
        <v>204</v>
      </c>
      <c r="G29" s="2" t="s">
        <v>166</v>
      </c>
      <c r="H29" s="3" t="s">
        <v>219</v>
      </c>
      <c r="I29" s="2" t="s">
        <v>220</v>
      </c>
      <c r="J29" s="2" t="s">
        <v>221</v>
      </c>
      <c r="K29" s="2" t="s">
        <v>222</v>
      </c>
      <c r="L29" s="2" t="s">
        <v>23</v>
      </c>
    </row>
    <row r="30" customFormat="false" ht="63.75" hidden="false" customHeight="true" outlineLevel="0" collapsed="false">
      <c r="A30" s="2" t="s">
        <v>223</v>
      </c>
      <c r="B30" s="3" t="s">
        <v>224</v>
      </c>
      <c r="C30" s="2" t="s">
        <v>225</v>
      </c>
      <c r="D30" s="6" t="s">
        <v>174</v>
      </c>
      <c r="E30" s="2" t="s">
        <v>175</v>
      </c>
      <c r="F30" s="3" t="s">
        <v>204</v>
      </c>
      <c r="G30" s="2" t="s">
        <v>166</v>
      </c>
      <c r="H30" s="3" t="s">
        <v>226</v>
      </c>
      <c r="I30" s="2" t="s">
        <v>227</v>
      </c>
      <c r="J30" s="2" t="s">
        <v>228</v>
      </c>
      <c r="K30" s="2" t="s">
        <v>229</v>
      </c>
      <c r="L30" s="2" t="s">
        <v>23</v>
      </c>
    </row>
    <row r="31" customFormat="false" ht="63.75" hidden="false" customHeight="true" outlineLevel="0" collapsed="false">
      <c r="A31" s="2" t="s">
        <v>230</v>
      </c>
      <c r="B31" s="3" t="s">
        <v>231</v>
      </c>
      <c r="C31" s="2" t="s">
        <v>232</v>
      </c>
      <c r="D31" s="6" t="s">
        <v>174</v>
      </c>
      <c r="E31" s="2" t="s">
        <v>175</v>
      </c>
      <c r="F31" s="3" t="s">
        <v>204</v>
      </c>
      <c r="G31" s="2" t="s">
        <v>166</v>
      </c>
      <c r="H31" s="3" t="s">
        <v>233</v>
      </c>
      <c r="I31" s="2" t="s">
        <v>234</v>
      </c>
      <c r="J31" s="2" t="s">
        <v>235</v>
      </c>
      <c r="K31" s="2" t="s">
        <v>31</v>
      </c>
      <c r="L31" s="2" t="s">
        <v>32</v>
      </c>
    </row>
  </sheetData>
  <autoFilter ref="A1:L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7" t="s">
        <v>236</v>
      </c>
      <c r="B1" s="7" t="n">
        <f aca="false">COUNTA('جدول نهایی مولفه‌ها'!A2:A31)</f>
        <v>30</v>
      </c>
    </row>
    <row r="2" customFormat="false" ht="15" hidden="false" customHeight="false" outlineLevel="0" collapsed="false">
      <c r="A2" s="7" t="s">
        <v>237</v>
      </c>
      <c r="B2" s="7" t="n">
        <f aca="false">COUNTIF('جدول نهایی مولفه‌ها'!D2:D31,"سازمان")</f>
        <v>12</v>
      </c>
    </row>
    <row r="3" customFormat="false" ht="15" hidden="false" customHeight="false" outlineLevel="0" collapsed="false">
      <c r="A3" s="7" t="s">
        <v>238</v>
      </c>
      <c r="B3" s="7" t="n">
        <f aca="false">COUNTIF('جدول نهایی مولفه‌ها'!D2:D31,"حسابرس")</f>
        <v>9</v>
      </c>
    </row>
    <row r="4" customFormat="false" ht="15" hidden="false" customHeight="false" outlineLevel="0" collapsed="false">
      <c r="A4" s="7" t="s">
        <v>36</v>
      </c>
      <c r="B4" s="7" t="n">
        <f aca="false">COUNTIF('جدول نهایی مولفه‌ها'!D2:D31,"مشترک")</f>
        <v>9</v>
      </c>
    </row>
    <row r="5" customFormat="false" ht="15" hidden="false" customHeight="false" outlineLevel="0" collapsed="false">
      <c r="A5" s="7" t="s">
        <v>239</v>
      </c>
      <c r="B5" s="7" t="n">
        <f aca="false">COUNTIF('جدول نهایی مولفه‌ها'!L2:L31,"S+R")</f>
        <v>21</v>
      </c>
    </row>
    <row r="6" customFormat="false" ht="15" hidden="false" customHeight="false" outlineLevel="0" collapsed="false">
      <c r="A6" s="7" t="s">
        <v>240</v>
      </c>
      <c r="B6" s="7" t="n">
        <f aca="false">COUNTIF('جدول نهایی مولفه‌ها'!L2:L31,"S")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2026-10-09T08:46:14Z</dcterms:created>
  <dc:creator>openpyxl</dc:creator>
  <dc:description/>
  <dc:language>en-US</dc:language>
  <cp:lastModifiedBy/>
  <dcterms:modified xsi:type="dcterms:W3CDTF">2026-10-09T08:46:14Z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